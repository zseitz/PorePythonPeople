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nttChart" sheetId="1" r:id="rId4"/>
    <sheet state="visible" name="GanttChartPro" sheetId="2" r:id="rId5"/>
    <sheet state="visible" name="Help" sheetId="3" r:id="rId6"/>
    <sheet state="visible" name="TermsOfUse" sheetId="4" r:id="rId7"/>
  </sheets>
  <definedNames>
    <definedName name="valuevx">42.314159</definedName>
    <definedName name="vertex42_copyright">"© 2006-2018 Vertex42 LLC"</definedName>
    <definedName name="vertex42_id">"gantt-chart_L.xlsx"</definedName>
    <definedName name="vertex42_title">"Gantt Chart Template"</definedName>
    <definedName localSheetId="0" name="prevWBS">GanttChart!$A$1048574</definedName>
  </definedNames>
  <calcPr/>
  <extLst>
    <ext uri="GoogleSheetsCustomDataVersion2">
      <go:sheetsCustomData xmlns:go="http://customooxmlschemas.google.com/" r:id="rId8" roundtripDataChecksum="H/pZ/6oyLIUIOoVKf2QVJi4cGVRoHDpkNTZAKwdQDi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7">
      <text>
        <t xml:space="preserve">======
ID#AAAB2-GH2-Q
Vertex42    (2026-04-03 19:15:07)
Task Lead
Enter the name of the Task Lead in this column.</t>
      </text>
    </comment>
    <comment authorId="0" ref="G7">
      <text>
        <t xml:space="preserve">======
ID#AAAB2-GH2-I
Vertex42    (2026-04-03 19:15:07)
Duration (Calendar Days)
The duration is the number of calendar days for the given task. The duration is calculated as the End Date minus the Start Date plus 1 day, so that a task starting and ending on the same day has a duration of 1 day.
Note: The conditional formatting used to create the gantt chart references this column.</t>
      </text>
    </comment>
    <comment authorId="0" ref="D7">
      <text>
        <t xml:space="preserve">======
ID#AAAB2-GH2-E
Predecessor Tasks    (2026-04-03 19:15:07)
You can use this column to enter the WBS of a predecessor for reference. The PRO version uses formulas to automatically calculate the Start Date based on the Predecessor.</t>
      </text>
    </comment>
    <comment authorId="0" ref="E7">
      <text>
        <t xml:space="preserve">======
ID#AAAB2-GH2-A
Vertex42    (2026-04-03 19:15:07)
Task Start Date
You can manually enter the Start Date for each task or use a formula to create a dependency on a Predecessor. For example, you could enter =enddate+1 to set the Start date to the next calendar day, or =WORKDAY(enddate,1) to set the Start date to the next work day (excluding weekends), where enddate is the cell reference for the End date of the Predecessor task.</t>
      </text>
    </comment>
    <comment authorId="0" ref="A7">
      <text>
        <t xml:space="preserve">======
ID#AAAB2-GH298
Vertex42    (2026-04-03 19:15:07)
Work Breakdown Structure
Level 1: 1, 2, 3, ...
Level 2: 1.1, 1.2, 1.3, ...
Level 3: 1.1.1, 1.1.2, 1.1.3, …
 - The WBS uses a formula to control the numbering, but the formulas are different for different levels. Copy and Paste the cells in the WBS column from the examples at the bottom of the worksheet.</t>
      </text>
    </comment>
    <comment authorId="0" ref="F7">
      <text>
        <t xml:space="preserve">======
ID#AAAB2-GH294
End Date    (2026-04-03 19:15:07)
The End Date is calculated based on the Start Date and the Calendar Days columns.</t>
      </text>
    </comment>
    <comment authorId="0" ref="I7">
      <text>
        <t xml:space="preserve">======
ID#AAAB2-GH29w
Vertex42    (2026-04-03 19:15:07)
Work Days
Counts the number of work days, excluding the weekends (Saturday and Sunday). In the PRO version, you can customize the work week and list specific non-working days like holidays. In the PRO version, the default input is the Work Days instead of the Calendar Days.</t>
      </text>
    </comment>
    <comment authorId="0" ref="B7">
      <text>
        <t xml:space="preserve">======
ID#AAAB2-GH290
Vertex42    (2026-04-03 19:15:07)
Task Description
Enter the name of each task and sub-task. Use indents for sub-tasks.</t>
      </text>
    </comment>
    <comment authorId="0" ref="H7">
      <text>
        <t xml:space="preserve">======
ID#AAAB2-GH29s
Vertex42    (2026-04-03 19:15:07)
Percent Complete
Update the status of this task by entering the percent complete (between 0% and 100%).</t>
      </text>
    </comment>
  </commentList>
  <extLst>
    <ext uri="GoogleSheetsCustomDataVersion2">
      <go:sheetsCustomData xmlns:go="http://customooxmlschemas.google.com/" r:id="rId1" roundtripDataSignature="AMtx7mgWznXr0JmbYlAt9H+pstz3/umja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6">
      <text>
        <t xml:space="preserve">======
ID#AAAB2-GH2-M
Vertex42    (2026-04-03 19:15:07)
This is an example comment.</t>
      </text>
    </comment>
  </commentList>
  <extLst>
    <ext uri="GoogleSheetsCustomDataVersion2">
      <go:sheetsCustomData xmlns:go="http://customooxmlschemas.google.com/" r:id="rId1" roundtripDataSignature="AMtx7mjYQvwmWTsZVV3zGNCQoeMq73xb1g=="/>
    </ext>
  </extLst>
</comments>
</file>

<file path=xl/sharedStrings.xml><?xml version="1.0" encoding="utf-8"?>
<sst xmlns="http://schemas.openxmlformats.org/spreadsheetml/2006/main" count="173" uniqueCount="156">
  <si>
    <t>Pore Python People</t>
  </si>
  <si>
    <r>
      <rPr>
        <rFont val="Arial"/>
        <i/>
        <color rgb="FFA5A5A5"/>
        <sz val="8.0"/>
        <u/>
      </rPr>
      <t>Gantt Chart Template</t>
    </r>
    <r>
      <rPr>
        <rFont val="Arial"/>
        <i/>
        <color rgb="FFA5A5A5"/>
        <sz val="8.0"/>
      </rPr>
      <t xml:space="preserve"> © 2006-2025 by Vertex42.com.</t>
    </r>
  </si>
  <si>
    <t>CHEME 547</t>
  </si>
  <si>
    <t xml:space="preserve">Project Start Date </t>
  </si>
  <si>
    <t xml:space="preserve">Display Week </t>
  </si>
  <si>
    <t xml:space="preserve">Project Lead </t>
  </si>
  <si>
    <t>WBS</t>
  </si>
  <si>
    <t>TASK</t>
  </si>
  <si>
    <t>LEAD</t>
  </si>
  <si>
    <t>PREDECESSOR</t>
  </si>
  <si>
    <t>START</t>
  </si>
  <si>
    <t>END</t>
  </si>
  <si>
    <t>DAYS</t>
  </si>
  <si>
    <t>% DONE</t>
  </si>
  <si>
    <t>WORK DAYS</t>
  </si>
  <si>
    <t>Quality of Life</t>
  </si>
  <si>
    <t>Update ReadMe file</t>
  </si>
  <si>
    <t>Separate subcomponents</t>
  </si>
  <si>
    <t>Finish this Gantt chart</t>
  </si>
  <si>
    <t>[Task]</t>
  </si>
  <si>
    <t>Replace Existing Pipeline</t>
  </si>
  <si>
    <t>Event Classifier Open State Finder</t>
  </si>
  <si>
    <t>Event Classifier Level Finding</t>
  </si>
  <si>
    <t>Consensus Builder</t>
  </si>
  <si>
    <t>Aligner Tool</t>
  </si>
  <si>
    <t>Neural Network Applications</t>
  </si>
  <si>
    <t>Auto aligner tool</t>
  </si>
  <si>
    <t>Enzyme specific analyzer?</t>
  </si>
  <si>
    <t>Testing</t>
  </si>
  <si>
    <t>Finish Demo</t>
  </si>
  <si>
    <t>Test with grad students</t>
  </si>
  <si>
    <t>Apply feedback</t>
  </si>
  <si>
    <t>Working Demo</t>
  </si>
  <si>
    <t>TEMPLATE ROWS</t>
  </si>
  <si>
    <t>See the Help worksheet to learn how to use these rows. You can hide these rows before printing.</t>
  </si>
  <si>
    <t>[ Level 1 Task or Phase ]</t>
  </si>
  <si>
    <t xml:space="preserve"> . [ Level 2 Task ]</t>
  </si>
  <si>
    <t xml:space="preserve"> . . [ Level 3 Task ]</t>
  </si>
  <si>
    <t xml:space="preserve"> . . . [ Level 4 Task ]</t>
  </si>
  <si>
    <t>Gantt Chart Template Pro</t>
  </si>
  <si>
    <r>
      <rPr>
        <rFont val="Arial"/>
        <b/>
        <color theme="1"/>
        <sz val="10.0"/>
      </rPr>
      <t>Gantt Chart Template Pro</t>
    </r>
    <r>
      <rPr>
        <rFont val="Arial"/>
        <b val="0"/>
        <color theme="1"/>
        <sz val="10.0"/>
      </rPr>
      <t xml:space="preserve"> is similar to this free version, but</t>
    </r>
  </si>
  <si>
    <t>it is more feature-packed. It also comes with other bonus content.</t>
  </si>
  <si>
    <t>Learn About Gantt Chart Template Pro</t>
  </si>
  <si>
    <t>https://www.vertex42.com/ExcelTemplates/excel-gantt-chart.html</t>
  </si>
  <si>
    <t>The following link is a blog post that talks specifically about the</t>
  </si>
  <si>
    <t>Pro version for Excel Online.</t>
  </si>
  <si>
    <t>Gantt Chart Template Pro for Excel Online</t>
  </si>
  <si>
    <t>Benefits and Features of Gantt Chart Template Pro</t>
  </si>
  <si>
    <t>Simple Color-Coding</t>
  </si>
  <si>
    <t>The Pro version includes a column for specifying the color of bars in the chart. For example,</t>
  </si>
  <si>
    <t>you could change the color based on urgency or task lead.</t>
  </si>
  <si>
    <t>Daily, Weekly, or Monthly View</t>
  </si>
  <si>
    <t>The Pro version includes a drop-down next to the Display Week that lets you choose to display</t>
  </si>
  <si>
    <t>the columns in the chart area as days, weeks, or months.</t>
  </si>
  <si>
    <t>Use Work Days as an Input</t>
  </si>
  <si>
    <t>By default, the Pro version is set up to have you enter Work Days instead of Calendar Days.</t>
  </si>
  <si>
    <t>The expanded set of template rows provides more options for defining the Start date, End date,</t>
  </si>
  <si>
    <t>and Duration of tasks. Define a task based on …</t>
  </si>
  <si>
    <t xml:space="preserve"> - Start date and End date</t>
  </si>
  <si>
    <t xml:space="preserve"> - Start date and Work days</t>
  </si>
  <si>
    <t xml:space="preserve"> - Start date and Calendar days</t>
  </si>
  <si>
    <t>Easily Create Task Dependencies</t>
  </si>
  <si>
    <t>Though you can still use your own formulas for creating task dependencies, the Pro version</t>
  </si>
  <si>
    <t>includes template rows that calculate the Start date based on the WBS number that you enter</t>
  </si>
  <si>
    <t>in the Predecessor column.</t>
  </si>
  <si>
    <t>Exclude Holidays from Work Days</t>
  </si>
  <si>
    <t>List holidays and other specific non-working days that you want to exclude from work days.</t>
  </si>
  <si>
    <t>Customize Your Work Week</t>
  </si>
  <si>
    <t>The versions designed for Excel 2010+ use the WORKDAY.INTL() and NETWORKDAYS.INTL()</t>
  </si>
  <si>
    <t>functions that allow you define the work week as something other than Monday-Friday.</t>
  </si>
  <si>
    <t>Learn More About Gantt Chart Template Pro</t>
  </si>
  <si>
    <t>Help</t>
  </si>
  <si>
    <t>About This Template</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</si>
  <si>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</si>
  <si>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Be sure to read the Getting Started Tips below. Watching the video demos for Gantt Chart Template Pro may also help you see how to use the spreadsheet.</t>
  </si>
  <si>
    <t>Watch Demo Videos of the Pro Version on Vertex42.com</t>
  </si>
  <si>
    <t>Please read the license agreement in the TermsOfUse worksheet to learn how you may or may not use and share this spreadsheet.</t>
  </si>
  <si>
    <t>Getting Started Tips</t>
  </si>
  <si>
    <t>• [Bracketed Text] is meant to be edited, like the project title and task descriptions.</t>
  </si>
  <si>
    <t>• Some of the labels include cell comments to provide extra information.</t>
  </si>
  <si>
    <t>Label</t>
  </si>
  <si>
    <t>• To adjust the range of dates shown in the Gantt chart, change the Display Week number.</t>
  </si>
  <si>
    <t>• The Project Start Date is used to define the first week shown in the gantt chart.</t>
  </si>
  <si>
    <t>• Insert new tasks using one of the methods listed below.</t>
  </si>
  <si>
    <t>• Define the task start date and duration (days) by editing the light green cells.</t>
  </si>
  <si>
    <t>Input Cell</t>
  </si>
  <si>
    <t>• If you see "#####" in a cell, widen the column to display the cell contents.</t>
  </si>
  <si>
    <r>
      <rPr>
        <rFont val="Arial"/>
        <color rgb="FFFF0000"/>
        <sz val="11.0"/>
      </rPr>
      <t xml:space="preserve">• </t>
    </r>
    <r>
      <rPr>
        <rFont val="Arial"/>
        <b/>
        <color rgb="FFFF0000"/>
        <sz val="11.0"/>
      </rPr>
      <t>Backup</t>
    </r>
    <r>
      <rPr>
        <rFont val="Arial"/>
        <color rgb="FFFF0000"/>
        <sz val="11.0"/>
      </rPr>
      <t xml:space="preserve"> your file regularly to avoid losing data! Excel files get corrupted occasionally.</t>
    </r>
  </si>
  <si>
    <t>Inserting New Tasks (Rows)</t>
  </si>
  <si>
    <r>
      <rPr>
        <rFont val="Arial"/>
        <color theme="1"/>
        <sz val="11.0"/>
      </rPr>
      <t xml:space="preserve">When inserting and deleting tasks, you need to insert and delete </t>
    </r>
    <r>
      <rPr>
        <rFont val="Arial"/>
        <b/>
        <color theme="1"/>
        <sz val="11.0"/>
      </rPr>
      <t>entire rows</t>
    </r>
    <r>
      <rPr>
        <rFont val="Arial"/>
        <color theme="1"/>
        <sz val="11.0"/>
      </rPr>
      <t>. Some columns contain formulas (such as the End Date and the Work Days columns), so these formulas need to copied to the newly inserted rows.</t>
    </r>
  </si>
  <si>
    <t>METHOD 1 (recommended)</t>
  </si>
  <si>
    <t>• Insert a new blank row by right-clicking on the row number and selecting Insert.</t>
  </si>
  <si>
    <t>• With the new blank row selected, press Ctrl+d to copy the formulas and formatting down from the row above OR use the row drag handle to copy the formulas and formatting down.</t>
  </si>
  <si>
    <t>METHOD 2</t>
  </si>
  <si>
    <t>• Copy a row from the set of template rows at the bottom of the worksheet.</t>
  </si>
  <si>
    <t>• Right-click on the row where you want to insert the new task and select Insert Copied Cells.</t>
  </si>
  <si>
    <t>Method 2 will work, but Excel will split/fracture/duplicate conditional formatting rules rather than merging the rules. This can cause inefficiencies in very large and heavily modified files.</t>
  </si>
  <si>
    <t>Help improve Excel by voting on a suggestion to fix this problem.</t>
  </si>
  <si>
    <t>Using the Template Rows and Choosing a WBS Level</t>
  </si>
  <si>
    <t>The set of template rows at the bottom of the Gantt Chart worksheet provide examples of different ways to format and define tasks for different WBS levels.</t>
  </si>
  <si>
    <t>Each different WBS level uses a different formula in the WBS column.</t>
  </si>
  <si>
    <t>You can either copy/paste/insert these template rows via Method 2 as explained above, OR you can just copy/paste the desired WBS cell when you want to change the WBS level.</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</si>
  <si>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</si>
  <si>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</si>
  <si>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t>Creating Task Dependencies</t>
  </si>
  <si>
    <t>You can enter the Start date manually, or define task dependencies using a formula. Below are some common options for defining the Start date:</t>
  </si>
  <si>
    <t>A.</t>
  </si>
  <si>
    <t>Enter the date manually (e.g. 1/3/2015)</t>
  </si>
  <si>
    <t>B.</t>
  </si>
  <si>
    <t>Reference the Project Start Date (e.g. =$E$4 )</t>
  </si>
  <si>
    <t>C.</t>
  </si>
  <si>
    <t>Set the Start date to the next Work Day after another task's End date.</t>
  </si>
  <si>
    <r>
      <rPr>
        <rFont val="Arial"/>
        <color theme="1"/>
        <sz val="11.0"/>
      </rPr>
      <t>• Use the formula =WORKDAY(</t>
    </r>
    <r>
      <rPr>
        <rFont val="Arial"/>
        <i/>
        <color theme="1"/>
        <sz val="11.0"/>
      </rPr>
      <t>enddate</t>
    </r>
    <r>
      <rPr>
        <rFont val="Arial"/>
        <color theme="1"/>
        <sz val="11.0"/>
      </rPr>
      <t xml:space="preserve">,1) where </t>
    </r>
    <r>
      <rPr>
        <rFont val="Arial"/>
        <i/>
        <color theme="1"/>
        <sz val="11.0"/>
      </rPr>
      <t>enddate</t>
    </r>
    <r>
      <rPr>
        <rFont val="Arial"/>
        <color theme="1"/>
        <sz val="11.0"/>
      </rPr>
      <t xml:space="preserve"> is the reference to the End date of a predecessor task.</t>
    </r>
  </si>
  <si>
    <r>
      <rPr>
        <rFont val="Arial"/>
        <color theme="1"/>
        <sz val="11.0"/>
      </rPr>
      <t>• For multiple predecessors, the formula would be =MAX(WORKDAY(</t>
    </r>
    <r>
      <rPr>
        <rFont val="Arial"/>
        <i/>
        <color theme="1"/>
        <sz val="11.0"/>
      </rPr>
      <t>enddate1</t>
    </r>
    <r>
      <rPr>
        <rFont val="Arial"/>
        <color theme="1"/>
        <sz val="11.0"/>
      </rPr>
      <t>,1),WORKDAY(</t>
    </r>
    <r>
      <rPr>
        <rFont val="Arial"/>
        <i/>
        <color theme="1"/>
        <sz val="11.0"/>
      </rPr>
      <t>enddate2</t>
    </r>
    <r>
      <rPr>
        <rFont val="Arial"/>
        <color theme="1"/>
        <sz val="11.0"/>
      </rPr>
      <t>,1))</t>
    </r>
  </si>
  <si>
    <t>D.</t>
  </si>
  <si>
    <t>Set the Start date to the next Calendar Day after another task's End date.</t>
  </si>
  <si>
    <r>
      <rPr>
        <rFont val="Arial"/>
        <color theme="1"/>
        <sz val="11.0"/>
      </rPr>
      <t>• This formula is very simple: =</t>
    </r>
    <r>
      <rPr>
        <rFont val="Arial"/>
        <i/>
        <color theme="1"/>
        <sz val="11.0"/>
      </rPr>
      <t>enddate</t>
    </r>
    <r>
      <rPr>
        <rFont val="Arial"/>
        <color theme="1"/>
        <sz val="11.0"/>
      </rPr>
      <t>+1</t>
    </r>
  </si>
  <si>
    <r>
      <rPr>
        <rFont val="Arial"/>
        <color theme="1"/>
        <sz val="11.0"/>
      </rPr>
      <t>• For multiple predecessors, the formula would be =MAX(</t>
    </r>
    <r>
      <rPr>
        <rFont val="Arial"/>
        <i/>
        <color theme="1"/>
        <sz val="11.0"/>
      </rPr>
      <t>enddate1</t>
    </r>
    <r>
      <rPr>
        <rFont val="Arial"/>
        <color theme="1"/>
        <sz val="11.0"/>
      </rPr>
      <t>,</t>
    </r>
    <r>
      <rPr>
        <rFont val="Arial"/>
        <i/>
        <color theme="1"/>
        <sz val="11.0"/>
      </rPr>
      <t>enddate2</t>
    </r>
    <r>
      <rPr>
        <rFont val="Arial"/>
        <color theme="1"/>
        <sz val="11.0"/>
      </rPr>
      <t>,</t>
    </r>
    <r>
      <rPr>
        <rFont val="Arial"/>
        <i/>
        <color theme="1"/>
        <sz val="11.0"/>
      </rPr>
      <t>enddate3</t>
    </r>
    <r>
      <rPr>
        <rFont val="Arial"/>
        <color theme="1"/>
        <sz val="11.0"/>
      </rPr>
      <t>)+1</t>
    </r>
  </si>
  <si>
    <t>E.</t>
  </si>
  <si>
    <t>Set the Start date to a number of days before or after another date.</t>
  </si>
  <si>
    <r>
      <rPr>
        <rFont val="Arial"/>
        <color theme="1"/>
        <sz val="11.0"/>
      </rPr>
      <t>• This formula is just like the one in C or D, except that in place of the "1" you enter the number of days, such as =WORKDAY(</t>
    </r>
    <r>
      <rPr>
        <rFont val="Arial"/>
        <i/>
        <color theme="1"/>
        <sz val="11.0"/>
      </rPr>
      <t>enddate</t>
    </r>
    <r>
      <rPr>
        <rFont val="Arial"/>
        <color theme="1"/>
        <sz val="11.0"/>
      </rPr>
      <t>,5) or =WORKDAY(</t>
    </r>
    <r>
      <rPr>
        <rFont val="Arial"/>
        <i/>
        <color theme="1"/>
        <sz val="11.0"/>
      </rPr>
      <t>startdate</t>
    </r>
    <r>
      <rPr>
        <rFont val="Arial"/>
        <color theme="1"/>
        <sz val="11.0"/>
      </rPr>
      <t>,-5)</t>
    </r>
  </si>
  <si>
    <t>F.</t>
  </si>
  <si>
    <t>Use a lookup formula and the Predecessor column to define the start date.</t>
  </si>
  <si>
    <t>[The formulas for using this method are built into Gantt Chart Template Pro]</t>
  </si>
  <si>
    <t>Changing the Color of the Bars in the Gantt Chart</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</si>
  <si>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</si>
  <si>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t>FAQs</t>
  </si>
  <si>
    <t>Q:</t>
  </si>
  <si>
    <r>
      <rPr>
        <rFont val="Arial"/>
        <color rgb="FF366092"/>
        <sz val="11.0"/>
      </rPr>
      <t xml:space="preserve">How do I enter the </t>
    </r>
    <r>
      <rPr>
        <rFont val="Arial"/>
        <b/>
        <color rgb="FF366092"/>
        <sz val="11.0"/>
      </rPr>
      <t>Work Days</t>
    </r>
    <r>
      <rPr>
        <rFont val="Arial"/>
        <color rgb="FF366092"/>
        <sz val="11.0"/>
      </rPr>
      <t xml:space="preserve"> instead of </t>
    </r>
    <r>
      <rPr>
        <rFont val="Arial"/>
        <b/>
        <color rgb="FF366092"/>
        <sz val="11.0"/>
      </rPr>
      <t>Calendar Days</t>
    </r>
    <r>
      <rPr>
        <rFont val="Arial"/>
        <color rgb="FF366092"/>
        <sz val="11.0"/>
      </rPr>
      <t>?</t>
    </r>
  </si>
  <si>
    <t>Entering work days instead of calendar days is a feature of the Pro version. There is nothing in the free version preventing you from entering your own formulas, though.</t>
  </si>
  <si>
    <r>
      <rPr>
        <rFont val="Arial"/>
        <color rgb="FF366092"/>
        <sz val="11.0"/>
      </rPr>
      <t xml:space="preserve">How do I calculate Calendar Days after entering the </t>
    </r>
    <r>
      <rPr>
        <rFont val="Arial"/>
        <b/>
        <color rgb="FF366092"/>
        <sz val="11.0"/>
      </rPr>
      <t>Start and End Dates</t>
    </r>
    <r>
      <rPr>
        <rFont val="Arial"/>
        <color rgb="FF366092"/>
        <sz val="11.0"/>
      </rPr>
      <t>?</t>
    </r>
  </si>
  <si>
    <r>
      <rPr>
        <rFont val="Arial"/>
        <color theme="1"/>
        <sz val="11.0"/>
      </rPr>
      <t>You can calculate the duration in calendar days (including both start and end dates) using the formula =</t>
    </r>
    <r>
      <rPr>
        <rFont val="Arial"/>
        <i/>
        <color theme="1"/>
        <sz val="11.0"/>
      </rPr>
      <t>enddate</t>
    </r>
    <r>
      <rPr>
        <rFont val="Arial"/>
        <color theme="1"/>
        <sz val="11.0"/>
      </rPr>
      <t>-</t>
    </r>
    <r>
      <rPr>
        <rFont val="Arial"/>
        <i/>
        <color theme="1"/>
        <sz val="11.0"/>
      </rPr>
      <t>startdate</t>
    </r>
    <r>
      <rPr>
        <rFont val="Arial"/>
        <color theme="1"/>
        <sz val="11.0"/>
      </rPr>
      <t>+1</t>
    </r>
  </si>
  <si>
    <r>
      <rPr>
        <rFont val="Arial"/>
        <color rgb="FF366092"/>
        <sz val="11.0"/>
      </rPr>
      <t xml:space="preserve">How do I change the </t>
    </r>
    <r>
      <rPr>
        <rFont val="Arial"/>
        <b/>
        <color rgb="FF366092"/>
        <sz val="11.0"/>
      </rPr>
      <t>Print Settings</t>
    </r>
    <r>
      <rPr>
        <rFont val="Arial"/>
        <color rgb="FF366092"/>
        <sz val="11.0"/>
      </rPr>
      <t>? (Excel 2010, 2013)</t>
    </r>
  </si>
  <si>
    <t>Select the entire range of cells you want to print and go to File &gt; Print Area &gt; Set Print Area. Then go to File &gt; Page Setup or File &gt; Print Preview and adjust the Scaling, Margins, and Page Orientation as desired.</t>
  </si>
  <si>
    <r>
      <rPr>
        <rFont val="Arial"/>
        <color rgb="FF366092"/>
        <sz val="11.0"/>
      </rPr>
      <t xml:space="preserve">How do I increase the </t>
    </r>
    <r>
      <rPr>
        <rFont val="Arial"/>
        <b/>
        <color rgb="FF366092"/>
        <sz val="11.0"/>
      </rPr>
      <t>range of dates</t>
    </r>
    <r>
      <rPr>
        <rFont val="Arial"/>
        <color rgb="FF366092"/>
        <sz val="11.0"/>
      </rPr>
      <t xml:space="preserve"> displayed in the Gantt chart?</t>
    </r>
  </si>
  <si>
    <t>You will need to add columns to the right of the Gantt Chart via copy/paste. Copy and paste the columns in groups of 7. Afterwards, you will also probably need to update the print area.</t>
  </si>
  <si>
    <r>
      <rPr>
        <rFont val="Arial"/>
        <color rgb="FF366092"/>
        <sz val="11.0"/>
      </rPr>
      <t xml:space="preserve">How do I create a summary row that shows the </t>
    </r>
    <r>
      <rPr>
        <rFont val="Arial"/>
        <b/>
        <color rgb="FF366092"/>
        <sz val="11.0"/>
      </rPr>
      <t>MIN</t>
    </r>
    <r>
      <rPr>
        <rFont val="Arial"/>
        <color rgb="FF366092"/>
        <sz val="11.0"/>
      </rPr>
      <t xml:space="preserve"> and </t>
    </r>
    <r>
      <rPr>
        <rFont val="Arial"/>
        <b/>
        <color rgb="FF366092"/>
        <sz val="11.0"/>
      </rPr>
      <t>MAX</t>
    </r>
    <r>
      <rPr>
        <rFont val="Arial"/>
        <color rgb="FF366092"/>
        <sz val="11.0"/>
      </rPr>
      <t xml:space="preserve"> dates for all sub-tasks?</t>
    </r>
  </si>
  <si>
    <r>
      <rPr>
        <rFont val="Arial"/>
        <color rgb="FF000000"/>
        <sz val="11.0"/>
      </rPr>
      <t>In the Start column, use the formula =MIN(</t>
    </r>
    <r>
      <rPr>
        <rFont val="Arial"/>
        <i/>
        <color rgb="FF000000"/>
        <sz val="11.0"/>
      </rPr>
      <t>range_of_start_dates</t>
    </r>
    <r>
      <rPr>
        <rFont val="Arial"/>
        <color rgb="FF000000"/>
        <sz val="11.0"/>
      </rPr>
      <t>)</t>
    </r>
  </si>
  <si>
    <r>
      <rPr>
        <rFont val="Arial"/>
        <color rgb="FF000000"/>
        <sz val="11.0"/>
      </rPr>
      <t>In the End column, use the formula =MAX(</t>
    </r>
    <r>
      <rPr>
        <rFont val="Arial"/>
        <i/>
        <color rgb="FF000000"/>
        <sz val="11.0"/>
      </rPr>
      <t>range_of_end_dates</t>
    </r>
    <r>
      <rPr>
        <rFont val="Arial"/>
        <color rgb="FF000000"/>
        <sz val="11.0"/>
      </rPr>
      <t>)</t>
    </r>
  </si>
  <si>
    <r>
      <rPr>
        <rFont val="Arial"/>
        <color rgb="FF000000"/>
        <sz val="11.0"/>
      </rPr>
      <t>In the Days column, use the formula =</t>
    </r>
    <r>
      <rPr>
        <rFont val="Arial"/>
        <i/>
        <color rgb="FF000000"/>
        <sz val="11.0"/>
      </rPr>
      <t>end_date</t>
    </r>
    <r>
      <rPr>
        <rFont val="Arial"/>
        <color rgb="FF000000"/>
        <sz val="11.0"/>
      </rPr>
      <t>-</t>
    </r>
    <r>
      <rPr>
        <rFont val="Arial"/>
        <i/>
        <color rgb="FF000000"/>
        <sz val="11.0"/>
      </rPr>
      <t>start_date</t>
    </r>
    <r>
      <rPr>
        <rFont val="Arial"/>
        <color rgb="FF000000"/>
        <sz val="11.0"/>
      </rPr>
      <t>+1</t>
    </r>
  </si>
  <si>
    <r>
      <rPr>
        <rFont val="Arial"/>
        <color rgb="FF366092"/>
        <sz val="11.0"/>
      </rPr>
      <t xml:space="preserve">How do I calculate the </t>
    </r>
    <r>
      <rPr>
        <rFont val="Arial"/>
        <b/>
        <color rgb="FF366092"/>
        <sz val="11.0"/>
      </rPr>
      <t>%Complete</t>
    </r>
    <r>
      <rPr>
        <rFont val="Arial"/>
        <color rgb="FF366092"/>
        <sz val="11.0"/>
      </rPr>
      <t xml:space="preserve"> for an entire category of tasks?</t>
    </r>
  </si>
  <si>
    <t>The %Complete for a group of tasks can be calculated from its sub tasks using the formula below, where "workdays" is a reference to the range of work day values and "complete" is a reference to the %complete for each of the subtasks.</t>
  </si>
  <si>
    <r>
      <rPr>
        <rFont val="Arial"/>
        <color theme="1"/>
        <sz val="11.0"/>
      </rPr>
      <t>=SUMPRODUCT(</t>
    </r>
    <r>
      <rPr>
        <rFont val="Arial"/>
        <i/>
        <color theme="1"/>
        <sz val="11.0"/>
      </rPr>
      <t>workdays</t>
    </r>
    <r>
      <rPr>
        <rFont val="Arial"/>
        <color theme="1"/>
        <sz val="11.0"/>
      </rPr>
      <t>,</t>
    </r>
    <r>
      <rPr>
        <rFont val="Arial"/>
        <i/>
        <color theme="1"/>
        <sz val="11.0"/>
      </rPr>
      <t>complete</t>
    </r>
    <r>
      <rPr>
        <rFont val="Arial"/>
        <color theme="1"/>
        <sz val="11.0"/>
      </rPr>
      <t>)/SUM(</t>
    </r>
    <r>
      <rPr>
        <rFont val="Arial"/>
        <i/>
        <color theme="1"/>
        <sz val="11.0"/>
      </rPr>
      <t>workdays</t>
    </r>
    <r>
      <rPr>
        <rFont val="Arial"/>
        <color theme="1"/>
        <sz val="11.0"/>
      </rPr>
      <t>)</t>
    </r>
  </si>
  <si>
    <t>Example: Let's say you have 3 sub tasks that are 10 days, 12 days, and 14 days long, respectively. If the first subtask is 50% complete and the others are 25% complete, you could calculate the overall percent complete for the group as: =(10*50%+12*25%+14*25%)/(10+12+14).</t>
  </si>
  <si>
    <r>
      <rPr>
        <rFont val="Arial"/>
        <color rgb="FF366092"/>
        <sz val="11.0"/>
      </rPr>
      <t xml:space="preserve">I've </t>
    </r>
    <r>
      <rPr>
        <rFont val="Arial"/>
        <b/>
        <color rgb="FF366092"/>
        <sz val="11.0"/>
      </rPr>
      <t>messed up</t>
    </r>
    <r>
      <rPr>
        <rFont val="Arial"/>
        <color rgb="FF366092"/>
        <sz val="11.0"/>
      </rPr>
      <t xml:space="preserve"> the chart area somehow. How do I fix it?</t>
    </r>
  </si>
  <si>
    <t>Find a row that works, then copy the cells that make up the gantt chart area from that row into the row that is messed up.</t>
  </si>
  <si>
    <t>© 2006-2025 Vertex42 LLC</t>
  </si>
  <si>
    <t>Terms of Use</t>
  </si>
  <si>
    <t>Gantt Chart Template, by Vertex42.com</t>
  </si>
  <si>
    <t>This spreadsheet template, including all worksheets and associated content is a copyrighted work under the United States and other copyright laws.</t>
  </si>
  <si>
    <r>
      <rPr>
        <rFont val="Arial"/>
        <color theme="1"/>
        <sz val="12.0"/>
      </rPr>
      <t xml:space="preserve">You may download the spreadsheet template, make archival copies, and customize the template only for your </t>
    </r>
    <r>
      <rPr>
        <rFont val="Arial"/>
        <b/>
        <color theme="1"/>
        <sz val="12.0"/>
      </rPr>
      <t>personal use or use within your company or organization</t>
    </r>
    <r>
      <rPr>
        <rFont val="Arial"/>
        <color theme="1"/>
        <sz val="12.0"/>
      </rPr>
      <t xml:space="preserve"> and </t>
    </r>
    <r>
      <rPr>
        <rFont val="Arial"/>
        <b/>
        <color theme="1"/>
        <sz val="12.0"/>
      </rPr>
      <t>not</t>
    </r>
    <r>
      <rPr>
        <rFont val="Arial"/>
        <color theme="1"/>
        <sz val="12.0"/>
      </rPr>
      <t xml:space="preserve"> for resale or public sharing.</t>
    </r>
  </si>
  <si>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</si>
  <si>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</si>
  <si>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r>
      <rPr>
        <rFont val="Arial"/>
        <b/>
        <color theme="1"/>
        <sz val="12.0"/>
      </rPr>
      <t>Limited Private Sharing and Other Allowed Uses</t>
    </r>
    <r>
      <rPr>
        <rFont val="Arial"/>
        <color theme="1"/>
        <sz val="12.0"/>
      </rPr>
      <t>: See the complete license agreement to learn more about how you may or may not use this template.</t>
    </r>
  </si>
  <si>
    <t>View the Complete License Agreement</t>
  </si>
  <si>
    <t>https://www.vertex42.com/licensing/EULA_privateuse.html</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</si>
</sst>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dddd\)"/>
    <numFmt numFmtId="165" formatCode="d\ mmm\ yyyy"/>
    <numFmt numFmtId="166" formatCode="d"/>
    <numFmt numFmtId="167" formatCode="ddd\ m/dd/yy"/>
  </numFmts>
  <fonts count="41">
    <font>
      <sz val="10.0"/>
      <color rgb="FF000000"/>
      <name val="Arial"/>
      <scheme val="minor"/>
    </font>
    <font>
      <sz val="16.0"/>
      <color rgb="FF366092"/>
      <name val="Arial"/>
    </font>
    <font>
      <sz val="14.0"/>
      <color rgb="FF003366"/>
      <name val="Arial"/>
    </font>
    <font>
      <sz val="10.0"/>
      <color theme="1"/>
      <name val="Arial"/>
    </font>
    <font>
      <i/>
      <sz val="8.0"/>
      <color rgb="FFA5A5A5"/>
      <name val="Arial"/>
    </font>
    <font>
      <sz val="11.0"/>
      <color theme="1"/>
      <name val="Arial"/>
    </font>
    <font>
      <sz val="9.0"/>
      <color theme="1"/>
      <name val="Arial"/>
    </font>
    <font>
      <u/>
      <sz val="8.0"/>
      <color rgb="FF0000FF"/>
      <name val="Arial"/>
    </font>
    <font>
      <sz val="7.0"/>
      <color rgb="FFC0C0C0"/>
      <name val="Arial"/>
    </font>
    <font>
      <u/>
      <sz val="10.0"/>
      <color rgb="FF0000FF"/>
      <name val="Arial"/>
    </font>
    <font/>
    <font>
      <sz val="8.0"/>
      <color theme="1"/>
      <name val="Arial"/>
    </font>
    <font>
      <b/>
      <sz val="9.0"/>
      <color theme="1"/>
      <name val="Arial"/>
    </font>
    <font>
      <b/>
      <sz val="8.0"/>
      <color theme="1"/>
      <name val="Arial"/>
    </font>
    <font>
      <b/>
      <sz val="11.0"/>
      <color theme="1"/>
      <name val="Arial"/>
    </font>
    <font>
      <sz val="14.0"/>
      <color theme="1"/>
      <name val="Arial"/>
    </font>
    <font>
      <sz val="9.0"/>
      <color rgb="FF000000"/>
      <name val="Arial"/>
    </font>
    <font>
      <sz val="14.0"/>
      <color rgb="FF000000"/>
      <name val="Arial"/>
    </font>
    <font>
      <i/>
      <sz val="9.0"/>
      <color theme="1"/>
      <name val="Arial"/>
    </font>
    <font>
      <b/>
      <sz val="10.0"/>
      <color rgb="FF000000"/>
      <name val="Arial"/>
    </font>
    <font>
      <sz val="10.0"/>
      <color rgb="FF000000"/>
      <name val="Arial"/>
    </font>
    <font>
      <b/>
      <sz val="11.0"/>
      <color rgb="FF000000"/>
      <name val="Arial"/>
    </font>
    <font>
      <u/>
      <sz val="10.0"/>
      <color rgb="FF0000FF"/>
      <name val="Arial"/>
    </font>
    <font>
      <sz val="18.0"/>
      <color rgb="FF366092"/>
      <name val="Arial"/>
    </font>
    <font>
      <color theme="1"/>
      <name val="Arial"/>
      <scheme val="minor"/>
    </font>
    <font>
      <b/>
      <sz val="10.0"/>
      <color theme="1"/>
      <name val="Arial"/>
    </font>
    <font>
      <u/>
      <sz val="14.0"/>
      <color rgb="FF0000FF"/>
      <name val="Arial"/>
    </font>
    <font>
      <i/>
      <sz val="8.0"/>
      <color theme="1"/>
      <name val="Arial"/>
    </font>
    <font>
      <b/>
      <sz val="12.0"/>
      <color rgb="FF366092"/>
      <name val="Arial"/>
    </font>
    <font>
      <sz val="18.0"/>
      <color rgb="FF3B8741"/>
      <name val="Arial"/>
    </font>
    <font>
      <u/>
      <sz val="11.0"/>
      <color rgb="FF0000FF"/>
      <name val="Arial"/>
    </font>
    <font>
      <sz val="14.0"/>
      <color rgb="FF366092"/>
      <name val="Arial"/>
    </font>
    <font>
      <sz val="11.0"/>
      <color rgb="FFFF0000"/>
      <name val="Arial"/>
    </font>
    <font>
      <b/>
      <sz val="11.0"/>
      <color rgb="FF366092"/>
      <name val="Arial"/>
    </font>
    <font>
      <u/>
      <sz val="11.0"/>
      <color rgb="FF0000FF"/>
      <name val="Arial"/>
    </font>
    <font>
      <sz val="11.0"/>
      <color rgb="FF000000"/>
      <name val="Arial"/>
    </font>
    <font>
      <sz val="11.0"/>
      <color rgb="FF366092"/>
      <name val="Arial"/>
    </font>
    <font>
      <sz val="12.0"/>
      <color theme="1"/>
      <name val="Arial"/>
    </font>
    <font>
      <u/>
      <sz val="11.0"/>
      <color rgb="FF0000FF"/>
      <name val="Arial"/>
    </font>
    <font>
      <b/>
      <sz val="12.0"/>
      <color theme="1"/>
      <name val="Arial"/>
    </font>
    <font>
      <u/>
      <sz val="12.0"/>
      <color rgb="FF0000FF"/>
      <name val="Arial"/>
    </font>
  </fonts>
  <fills count="6">
    <fill>
      <patternFill patternType="none"/>
    </fill>
    <fill>
      <patternFill patternType="lightGray"/>
    </fill>
    <fill>
      <patternFill patternType="solid">
        <fgColor rgb="FFFFFFFF"/>
        <bgColor rgb="FFFFFFFF"/>
      </patternFill>
    </fill>
    <fill>
      <patternFill patternType="solid">
        <fgColor rgb="FFD8D8D8"/>
        <bgColor rgb="FFD8D8D8"/>
      </patternFill>
    </fill>
    <fill>
      <patternFill patternType="solid">
        <fgColor rgb="FFD3EBD4"/>
        <bgColor rgb="FFD3EBD4"/>
      </patternFill>
    </fill>
    <fill>
      <patternFill patternType="solid">
        <fgColor rgb="FFEAEAEA"/>
        <bgColor rgb="FFEAEAEA"/>
      </patternFill>
    </fill>
  </fills>
  <borders count="21">
    <border/>
    <border>
      <left/>
      <right/>
      <top/>
      <bottom/>
    </border>
    <border>
      <bottom style="thin">
        <color rgb="FFBFBFBF"/>
      </bottom>
    </border>
    <border>
      <left style="medium">
        <color rgb="FFBFBFBF"/>
      </left>
    </border>
    <border>
      <right style="medium">
        <color rgb="FFBFBFBF"/>
      </right>
    </border>
    <border>
      <top style="thin">
        <color rgb="FFBFBFBF"/>
      </top>
      <bottom style="thin">
        <color rgb="FFBFBFBF"/>
      </bottom>
    </border>
    <border>
      <left style="medium">
        <color rgb="FFBFBFBF"/>
      </left>
      <right style="thin">
        <color rgb="FFBFBFBF"/>
      </right>
    </border>
    <border>
      <left style="thin">
        <color rgb="FFBFBFBF"/>
      </left>
      <right style="thin">
        <color rgb="FFBFBFBF"/>
      </right>
    </border>
    <border>
      <left style="thin">
        <color rgb="FFBFBFBF"/>
      </left>
      <right style="medium">
        <color rgb="FFBFBFBF"/>
      </right>
    </border>
    <border>
      <bottom style="medium">
        <color rgb="FFA5A5A5"/>
      </bottom>
    </border>
    <border>
      <left style="medium">
        <color rgb="FFBFBFBF"/>
      </left>
      <right style="thin">
        <color rgb="FFBFBFBF"/>
      </right>
      <bottom style="medium">
        <color rgb="FFA5A5A5"/>
      </bottom>
    </border>
    <border>
      <left style="thin">
        <color rgb="FFBFBFBF"/>
      </left>
      <right style="thin">
        <color rgb="FFBFBFBF"/>
      </right>
      <bottom style="medium">
        <color rgb="FFA5A5A5"/>
      </bottom>
    </border>
    <border>
      <left style="thin">
        <color rgb="FFBFBFBF"/>
      </left>
      <right style="medium">
        <color rgb="FFBFBFBF"/>
      </right>
      <bottom style="medium">
        <color rgb="FFA5A5A5"/>
      </bottom>
    </border>
    <border>
      <left/>
      <right/>
      <top/>
      <bottom style="thin">
        <color rgb="FFEAEAEA"/>
      </bottom>
    </border>
    <border>
      <top style="thin">
        <color rgb="FFEAEAEA"/>
      </top>
      <bottom style="thin">
        <color rgb="FFEAEAEA"/>
      </bottom>
    </border>
    <border>
      <top style="thin">
        <color rgb="FFEFEFEF"/>
      </top>
      <bottom style="thin">
        <color rgb="FFEFEFEF"/>
      </bottom>
    </border>
    <border>
      <left/>
      <right/>
      <top style="thin">
        <color rgb="FFEFEFEF"/>
      </top>
      <bottom style="thin">
        <color rgb="FFEFEFEF"/>
      </bottom>
    </border>
    <border>
      <left/>
      <right/>
      <top style="thin">
        <color rgb="FFEAEAEA"/>
      </top>
      <bottom style="thin">
        <color rgb="FFEAEAEA"/>
      </bottom>
    </border>
    <border>
      <left/>
      <right/>
      <top/>
      <bottom style="thin">
        <color rgb="FFEFEFEF"/>
      </bottom>
    </border>
    <border>
      <left style="thin">
        <color theme="0"/>
      </left>
      <right style="thin">
        <color theme="0"/>
      </right>
      <bottom style="thin">
        <color theme="0"/>
      </bottom>
    </border>
    <border>
      <left style="thin">
        <color theme="0"/>
      </left>
      <right style="thin">
        <color theme="0"/>
      </right>
      <top style="thin">
        <color theme="0"/>
      </top>
      <bottom style="thin">
        <color theme="0"/>
      </bottom>
    </border>
  </borders>
  <cellStyleXfs count="1">
    <xf borderId="0" fillId="0" fontId="0" numFmtId="0" applyAlignment="1" applyFont="1"/>
  </cellStyleXfs>
  <cellXfs count="132">
    <xf borderId="0" fillId="0" fontId="0" numFmtId="0" xfId="0" applyAlignment="1" applyFont="1">
      <alignment readingOrder="0" shrinkToFit="0" vertical="bottom" wrapText="0"/>
    </xf>
    <xf borderId="0" fillId="0" fontId="1" numFmtId="0" xfId="0" applyAlignment="1" applyFont="1">
      <alignment readingOrder="0" vertical="center"/>
    </xf>
    <xf borderId="0" fillId="0" fontId="2" numFmtId="0" xfId="0" applyAlignment="1" applyFont="1">
      <alignment vertical="center"/>
    </xf>
    <xf borderId="0" fillId="0" fontId="3" numFmtId="0" xfId="0" applyAlignment="1" applyFont="1">
      <alignment horizontal="right" vertical="center"/>
    </xf>
    <xf borderId="0" fillId="0" fontId="4" numFmtId="0" xfId="0" applyAlignment="1" applyFont="1">
      <alignment horizontal="left" vertical="center"/>
    </xf>
    <xf borderId="0" fillId="0" fontId="5" numFmtId="0" xfId="0" applyAlignment="1" applyFont="1">
      <alignment readingOrder="0" vertical="center"/>
    </xf>
    <xf borderId="0" fillId="0" fontId="6" numFmtId="0" xfId="0" applyFont="1"/>
    <xf borderId="1" fillId="2" fontId="7" numFmtId="0" xfId="0" applyAlignment="1" applyBorder="1" applyFill="1" applyFont="1">
      <alignment horizontal="right"/>
    </xf>
    <xf borderId="0" fillId="0" fontId="8" numFmtId="0" xfId="0" applyFont="1"/>
    <xf borderId="1" fillId="2" fontId="3" numFmtId="0" xfId="0" applyBorder="1" applyFont="1"/>
    <xf borderId="0" fillId="0" fontId="5" numFmtId="0" xfId="0" applyAlignment="1" applyFont="1">
      <alignment vertical="center"/>
    </xf>
    <xf borderId="0" fillId="0" fontId="3" numFmtId="0" xfId="0" applyFont="1"/>
    <xf borderId="0" fillId="0" fontId="9" numFmtId="0" xfId="0" applyAlignment="1" applyFont="1">
      <alignment horizontal="left"/>
    </xf>
    <xf borderId="2" fillId="0" fontId="3" numFmtId="164" xfId="0" applyAlignment="1" applyBorder="1" applyFont="1" applyNumberFormat="1">
      <alignment horizontal="center" readingOrder="0" shrinkToFit="1" vertical="center" wrapText="0"/>
    </xf>
    <xf borderId="2" fillId="0" fontId="10" numFmtId="0" xfId="0" applyBorder="1" applyFont="1"/>
    <xf borderId="2" fillId="0" fontId="3" numFmtId="0" xfId="0" applyAlignment="1" applyBorder="1" applyFont="1">
      <alignment horizontal="center" vertical="center"/>
    </xf>
    <xf borderId="3" fillId="0" fontId="5" numFmtId="0" xfId="0" applyAlignment="1" applyBorder="1" applyFont="1">
      <alignment horizontal="center" vertical="center"/>
    </xf>
    <xf borderId="4" fillId="0" fontId="10" numFmtId="0" xfId="0" applyBorder="1" applyFont="1"/>
    <xf borderId="5" fillId="0" fontId="3" numFmtId="164" xfId="0" applyAlignment="1" applyBorder="1" applyFont="1" applyNumberFormat="1">
      <alignment horizontal="center" shrinkToFit="1" vertical="center" wrapText="0"/>
    </xf>
    <xf borderId="5" fillId="0" fontId="10" numFmtId="0" xfId="0" applyBorder="1" applyFont="1"/>
    <xf borderId="3" fillId="0" fontId="3" numFmtId="165" xfId="0" applyAlignment="1" applyBorder="1" applyFont="1" applyNumberFormat="1">
      <alignment horizontal="center" vertical="center"/>
    </xf>
    <xf borderId="6" fillId="0" fontId="11" numFmtId="166" xfId="0" applyAlignment="1" applyBorder="1" applyFont="1" applyNumberFormat="1">
      <alignment horizontal="center" shrinkToFit="1" vertical="center" wrapText="0"/>
    </xf>
    <xf borderId="7" fillId="0" fontId="11" numFmtId="166" xfId="0" applyAlignment="1" applyBorder="1" applyFont="1" applyNumberFormat="1">
      <alignment horizontal="center" shrinkToFit="1" vertical="center" wrapText="0"/>
    </xf>
    <xf borderId="8" fillId="0" fontId="11" numFmtId="166" xfId="0" applyAlignment="1" applyBorder="1" applyFont="1" applyNumberFormat="1">
      <alignment horizontal="center" shrinkToFit="1" vertical="center" wrapText="0"/>
    </xf>
    <xf borderId="9" fillId="0" fontId="12" numFmtId="0" xfId="0" applyAlignment="1" applyBorder="1" applyFont="1">
      <alignment horizontal="left" vertical="center"/>
    </xf>
    <xf borderId="9" fillId="0" fontId="12" numFmtId="0" xfId="0" applyAlignment="1" applyBorder="1" applyFont="1">
      <alignment horizontal="center" shrinkToFit="0" vertical="center" wrapText="1"/>
    </xf>
    <xf borderId="9" fillId="0" fontId="13" numFmtId="0" xfId="0" applyAlignment="1" applyBorder="1" applyFont="1">
      <alignment horizontal="center" shrinkToFit="0" vertical="center" wrapText="1"/>
    </xf>
    <xf borderId="9" fillId="0" fontId="12" numFmtId="0" xfId="0" applyAlignment="1" applyBorder="1" applyFont="1">
      <alignment horizontal="center" vertical="center"/>
    </xf>
    <xf borderId="10" fillId="0" fontId="6" numFmtId="0" xfId="0" applyAlignment="1" applyBorder="1" applyFont="1">
      <alignment horizontal="center" shrinkToFit="1" vertical="center" wrapText="0"/>
    </xf>
    <xf borderId="11" fillId="0" fontId="6" numFmtId="0" xfId="0" applyAlignment="1" applyBorder="1" applyFont="1">
      <alignment horizontal="center" shrinkToFit="1" vertical="center" wrapText="0"/>
    </xf>
    <xf borderId="12" fillId="0" fontId="6" numFmtId="0" xfId="0" applyAlignment="1" applyBorder="1" applyFont="1">
      <alignment horizontal="center" shrinkToFit="1" vertical="center" wrapText="0"/>
    </xf>
    <xf borderId="13" fillId="3" fontId="14" numFmtId="0" xfId="0" applyAlignment="1" applyBorder="1" applyFill="1" applyFont="1">
      <alignment horizontal="left" vertical="center"/>
    </xf>
    <xf borderId="13" fillId="3" fontId="14" numFmtId="0" xfId="0" applyAlignment="1" applyBorder="1" applyFont="1">
      <alignment readingOrder="0" vertical="center"/>
    </xf>
    <xf borderId="13" fillId="3" fontId="6" numFmtId="0" xfId="0" applyAlignment="1" applyBorder="1" applyFont="1">
      <alignment vertical="center"/>
    </xf>
    <xf borderId="13" fillId="3" fontId="6" numFmtId="0" xfId="0" applyAlignment="1" applyBorder="1" applyFont="1">
      <alignment horizontal="center" vertical="center"/>
    </xf>
    <xf borderId="13" fillId="3" fontId="6" numFmtId="167" xfId="0" applyAlignment="1" applyBorder="1" applyFont="1" applyNumberFormat="1">
      <alignment horizontal="right" vertical="center"/>
    </xf>
    <xf borderId="13" fillId="3" fontId="6" numFmtId="167" xfId="0" applyAlignment="1" applyBorder="1" applyFont="1" applyNumberFormat="1">
      <alignment horizontal="center" vertical="center"/>
    </xf>
    <xf borderId="13" fillId="3" fontId="6" numFmtId="1" xfId="0" applyAlignment="1" applyBorder="1" applyFont="1" applyNumberFormat="1">
      <alignment horizontal="center" vertical="center"/>
    </xf>
    <xf borderId="13" fillId="3" fontId="6" numFmtId="9" xfId="0" applyAlignment="1" applyBorder="1" applyFont="1" applyNumberFormat="1">
      <alignment horizontal="center" vertical="center"/>
    </xf>
    <xf borderId="13" fillId="3" fontId="15" numFmtId="1" xfId="0" applyAlignment="1" applyBorder="1" applyFont="1" applyNumberFormat="1">
      <alignment horizontal="center" vertical="center"/>
    </xf>
    <xf borderId="13" fillId="3" fontId="6" numFmtId="0" xfId="0" applyAlignment="1" applyBorder="1" applyFont="1">
      <alignment horizontal="left" vertical="center"/>
    </xf>
    <xf borderId="14" fillId="0" fontId="6" numFmtId="0" xfId="0" applyAlignment="1" applyBorder="1" applyFont="1">
      <alignment horizontal="left" vertical="center"/>
    </xf>
    <xf borderId="14" fillId="0" fontId="6" numFmtId="0" xfId="0" applyAlignment="1" applyBorder="1" applyFont="1">
      <alignment readingOrder="0" shrinkToFit="0" vertical="center" wrapText="1"/>
    </xf>
    <xf borderId="14" fillId="0" fontId="6" numFmtId="0" xfId="0" applyAlignment="1" applyBorder="1" applyFont="1">
      <alignment readingOrder="0" vertical="center"/>
    </xf>
    <xf borderId="15" fillId="0" fontId="16" numFmtId="0" xfId="0" applyAlignment="1" applyBorder="1" applyFont="1">
      <alignment horizontal="center" vertical="center"/>
    </xf>
    <xf borderId="16" fillId="4" fontId="16" numFmtId="167" xfId="0" applyAlignment="1" applyBorder="1" applyFill="1" applyFont="1" applyNumberFormat="1">
      <alignment horizontal="center" readingOrder="0" vertical="center"/>
    </xf>
    <xf borderId="15" fillId="0" fontId="16" numFmtId="167" xfId="0" applyAlignment="1" applyBorder="1" applyFont="1" applyNumberFormat="1">
      <alignment horizontal="center" vertical="center"/>
    </xf>
    <xf borderId="16" fillId="4" fontId="16" numFmtId="1" xfId="0" applyAlignment="1" applyBorder="1" applyFont="1" applyNumberFormat="1">
      <alignment horizontal="center" readingOrder="0" vertical="center"/>
    </xf>
    <xf borderId="16" fillId="4" fontId="16" numFmtId="9" xfId="0" applyAlignment="1" applyBorder="1" applyFont="1" applyNumberFormat="1">
      <alignment horizontal="center" readingOrder="0" vertical="center"/>
    </xf>
    <xf borderId="15" fillId="0" fontId="16" numFmtId="1" xfId="0" applyAlignment="1" applyBorder="1" applyFont="1" applyNumberFormat="1">
      <alignment horizontal="center" vertical="center"/>
    </xf>
    <xf borderId="15" fillId="0" fontId="17" numFmtId="1" xfId="0" applyAlignment="1" applyBorder="1" applyFont="1" applyNumberFormat="1">
      <alignment horizontal="center" vertical="center"/>
    </xf>
    <xf borderId="14" fillId="0" fontId="6" numFmtId="0" xfId="0" applyAlignment="1" applyBorder="1" applyFont="1">
      <alignment vertical="center"/>
    </xf>
    <xf borderId="14" fillId="0" fontId="6" numFmtId="0" xfId="0" applyAlignment="1" applyBorder="1" applyFont="1">
      <alignment shrinkToFit="0" vertical="center" wrapText="1"/>
    </xf>
    <xf borderId="16" fillId="4" fontId="16" numFmtId="9" xfId="0" applyAlignment="1" applyBorder="1" applyFont="1" applyNumberFormat="1">
      <alignment horizontal="center" vertical="center"/>
    </xf>
    <xf borderId="17" fillId="3" fontId="14" numFmtId="0" xfId="0" applyAlignment="1" applyBorder="1" applyFont="1">
      <alignment horizontal="left" vertical="center"/>
    </xf>
    <xf borderId="17" fillId="3" fontId="14" numFmtId="0" xfId="0" applyAlignment="1" applyBorder="1" applyFont="1">
      <alignment readingOrder="0" vertical="center"/>
    </xf>
    <xf borderId="17" fillId="3" fontId="6" numFmtId="0" xfId="0" applyAlignment="1" applyBorder="1" applyFont="1">
      <alignment vertical="center"/>
    </xf>
    <xf borderId="17" fillId="3" fontId="6" numFmtId="0" xfId="0" applyAlignment="1" applyBorder="1" applyFont="1">
      <alignment horizontal="center" vertical="center"/>
    </xf>
    <xf borderId="17" fillId="3" fontId="6" numFmtId="167" xfId="0" applyAlignment="1" applyBorder="1" applyFont="1" applyNumberFormat="1">
      <alignment horizontal="center" vertical="center"/>
    </xf>
    <xf borderId="17" fillId="3" fontId="6" numFmtId="1" xfId="0" applyAlignment="1" applyBorder="1" applyFont="1" applyNumberFormat="1">
      <alignment horizontal="center" vertical="center"/>
    </xf>
    <xf borderId="17" fillId="3" fontId="6" numFmtId="9" xfId="0" applyAlignment="1" applyBorder="1" applyFont="1" applyNumberFormat="1">
      <alignment horizontal="center" vertical="center"/>
    </xf>
    <xf borderId="17" fillId="3" fontId="15" numFmtId="1" xfId="0" applyAlignment="1" applyBorder="1" applyFont="1" applyNumberFormat="1">
      <alignment horizontal="center" vertical="center"/>
    </xf>
    <xf borderId="17" fillId="3" fontId="6" numFmtId="0" xfId="0" applyAlignment="1" applyBorder="1" applyFont="1">
      <alignment horizontal="left" vertical="center"/>
    </xf>
    <xf borderId="16" fillId="4" fontId="16" numFmtId="1" xfId="0" applyAlignment="1" applyBorder="1" applyFont="1" applyNumberFormat="1">
      <alignment horizontal="center" vertical="center"/>
    </xf>
    <xf borderId="14" fillId="0" fontId="18" numFmtId="0" xfId="0" applyAlignment="1" applyBorder="1" applyFont="1">
      <alignment vertical="center"/>
    </xf>
    <xf borderId="14" fillId="0" fontId="6" numFmtId="0" xfId="0" applyAlignment="1" applyBorder="1" applyFont="1">
      <alignment horizontal="center" vertical="center"/>
    </xf>
    <xf borderId="14" fillId="0" fontId="18" numFmtId="0" xfId="0" applyAlignment="1" applyBorder="1" applyFont="1">
      <alignment horizontal="center" vertical="center"/>
    </xf>
    <xf borderId="14" fillId="0" fontId="6" numFmtId="1" xfId="0" applyAlignment="1" applyBorder="1" applyFont="1" applyNumberFormat="1">
      <alignment horizontal="center" vertical="center"/>
    </xf>
    <xf borderId="14" fillId="0" fontId="6" numFmtId="9" xfId="0" applyAlignment="1" applyBorder="1" applyFont="1" applyNumberFormat="1">
      <alignment horizontal="center" vertical="center"/>
    </xf>
    <xf borderId="14" fillId="0" fontId="15" numFmtId="1" xfId="0" applyAlignment="1" applyBorder="1" applyFont="1" applyNumberFormat="1">
      <alignment horizontal="center" vertical="center"/>
    </xf>
    <xf borderId="1" fillId="3" fontId="19" numFmtId="0" xfId="0" applyAlignment="1" applyBorder="1" applyFont="1">
      <alignment vertical="center"/>
    </xf>
    <xf borderId="1" fillId="3" fontId="3" numFmtId="0" xfId="0" applyAlignment="1" applyBorder="1" applyFont="1">
      <alignment vertical="center"/>
    </xf>
    <xf borderId="1" fillId="3" fontId="20" numFmtId="0" xfId="0" applyAlignment="1" applyBorder="1" applyFont="1">
      <alignment vertical="center"/>
    </xf>
    <xf borderId="1" fillId="3" fontId="20" numFmtId="0" xfId="0" applyAlignment="1" applyBorder="1" applyFont="1">
      <alignment horizontal="center" vertical="center"/>
    </xf>
    <xf borderId="1" fillId="3" fontId="11" numFmtId="0" xfId="0" applyAlignment="1" applyBorder="1" applyFont="1">
      <alignment vertical="center"/>
    </xf>
    <xf borderId="1" fillId="3" fontId="15" numFmtId="0" xfId="0" applyAlignment="1" applyBorder="1" applyFont="1">
      <alignment vertical="center"/>
    </xf>
    <xf borderId="1" fillId="3" fontId="16" numFmtId="0" xfId="0" applyAlignment="1" applyBorder="1" applyFont="1">
      <alignment vertical="center"/>
    </xf>
    <xf borderId="1" fillId="3" fontId="6" numFmtId="0" xfId="0" applyAlignment="1" applyBorder="1" applyFont="1">
      <alignment vertical="center"/>
    </xf>
    <xf borderId="1" fillId="3" fontId="6" numFmtId="0" xfId="0" applyAlignment="1" applyBorder="1" applyFont="1">
      <alignment horizontal="center" vertical="center"/>
    </xf>
    <xf borderId="14" fillId="0" fontId="14" numFmtId="0" xfId="0" applyAlignment="1" applyBorder="1" applyFont="1">
      <alignment horizontal="left" vertical="center"/>
    </xf>
    <xf borderId="18" fillId="2" fontId="21" numFmtId="0" xfId="0" applyAlignment="1" applyBorder="1" applyFont="1">
      <alignment vertical="center"/>
    </xf>
    <xf borderId="18" fillId="2" fontId="16" numFmtId="0" xfId="0" applyAlignment="1" applyBorder="1" applyFont="1">
      <alignment vertical="center"/>
    </xf>
    <xf borderId="16" fillId="4" fontId="16" numFmtId="167" xfId="0" applyAlignment="1" applyBorder="1" applyFont="1" applyNumberFormat="1">
      <alignment horizontal="center" vertical="center"/>
    </xf>
    <xf borderId="15" fillId="0" fontId="16" numFmtId="0" xfId="0" applyAlignment="1" applyBorder="1" applyFont="1">
      <alignment vertical="center"/>
    </xf>
    <xf borderId="15" fillId="0" fontId="16" numFmtId="0" xfId="0" applyAlignment="1" applyBorder="1" applyFont="1">
      <alignment horizontal="left" vertical="center"/>
    </xf>
    <xf borderId="0" fillId="0" fontId="22" numFmtId="0" xfId="0" applyFont="1"/>
    <xf borderId="0" fillId="0" fontId="23" numFmtId="0" xfId="0" applyAlignment="1" applyFont="1">
      <alignment vertical="center"/>
    </xf>
    <xf borderId="0" fillId="0" fontId="24" numFmtId="0" xfId="0" applyFont="1"/>
    <xf borderId="0" fillId="0" fontId="25" numFmtId="0" xfId="0" applyFont="1"/>
    <xf borderId="0" fillId="0" fontId="26" numFmtId="0" xfId="0" applyFont="1"/>
    <xf borderId="0" fillId="0" fontId="27" numFmtId="0" xfId="0" applyFont="1"/>
    <xf borderId="0" fillId="0" fontId="28" numFmtId="0" xfId="0" applyFont="1"/>
    <xf borderId="0" fillId="0" fontId="14" numFmtId="0" xfId="0" applyFont="1"/>
    <xf borderId="0" fillId="0" fontId="23" numFmtId="0" xfId="0" applyAlignment="1" applyFont="1">
      <alignment horizontal="left" vertical="center"/>
    </xf>
    <xf borderId="0" fillId="0" fontId="29" numFmtId="0" xfId="0" applyAlignment="1" applyFont="1">
      <alignment horizontal="left" vertical="center"/>
    </xf>
    <xf borderId="0" fillId="0" fontId="30" numFmtId="0" xfId="0" applyFont="1"/>
    <xf borderId="0" fillId="0" fontId="11" numFmtId="0" xfId="0" applyAlignment="1" applyFont="1">
      <alignment horizontal="right"/>
    </xf>
    <xf borderId="0" fillId="0" fontId="31" numFmtId="0" xfId="0" applyFont="1"/>
    <xf borderId="0" fillId="0" fontId="5" numFmtId="0" xfId="0" applyAlignment="1" applyFont="1">
      <alignment horizontal="left" shrinkToFit="0" wrapText="1"/>
    </xf>
    <xf borderId="0" fillId="0" fontId="5" numFmtId="0" xfId="0" applyAlignment="1" applyFont="1">
      <alignment shrinkToFit="0" wrapText="1"/>
    </xf>
    <xf borderId="0" fillId="0" fontId="31" numFmtId="0" xfId="0" applyAlignment="1" applyFont="1">
      <alignment horizontal="left"/>
    </xf>
    <xf borderId="0" fillId="0" fontId="15" numFmtId="0" xfId="0" applyAlignment="1" applyFont="1">
      <alignment vertical="center"/>
    </xf>
    <xf borderId="0" fillId="0" fontId="5" numFmtId="0" xfId="0" applyAlignment="1" applyFont="1">
      <alignment shrinkToFit="0" vertical="center" wrapText="1"/>
    </xf>
    <xf borderId="0" fillId="0" fontId="3" numFmtId="0" xfId="0" applyAlignment="1" applyFont="1">
      <alignment vertical="center"/>
    </xf>
    <xf borderId="1" fillId="5" fontId="3" numFmtId="0" xfId="0" applyAlignment="1" applyBorder="1" applyFill="1" applyFont="1">
      <alignment horizontal="center" vertical="center"/>
    </xf>
    <xf borderId="0" fillId="0" fontId="15" numFmtId="0" xfId="0" applyFont="1"/>
    <xf borderId="1" fillId="4" fontId="3" numFmtId="0" xfId="0" applyAlignment="1" applyBorder="1" applyFont="1">
      <alignment horizontal="center" vertical="center"/>
    </xf>
    <xf borderId="0" fillId="0" fontId="32" numFmtId="0" xfId="0" applyAlignment="1" applyFont="1">
      <alignment shrinkToFit="0" vertical="center" wrapText="1"/>
    </xf>
    <xf borderId="0" fillId="0" fontId="33" numFmtId="0" xfId="0" applyFont="1"/>
    <xf borderId="0" fillId="0" fontId="34" numFmtId="0" xfId="0" applyAlignment="1" applyFont="1">
      <alignment vertical="center"/>
    </xf>
    <xf borderId="0" fillId="0" fontId="11" numFmtId="0" xfId="0" applyAlignment="1" applyFont="1">
      <alignment shrinkToFit="0" wrapText="1"/>
    </xf>
    <xf borderId="0" fillId="0" fontId="35" numFmtId="0" xfId="0" applyAlignment="1" applyFont="1">
      <alignment horizontal="right"/>
    </xf>
    <xf borderId="0" fillId="0" fontId="5" numFmtId="0" xfId="0" applyFont="1"/>
    <xf borderId="0" fillId="0" fontId="3" numFmtId="0" xfId="0" applyAlignment="1" applyFont="1">
      <alignment horizontal="left" shrinkToFit="0" wrapText="1"/>
    </xf>
    <xf borderId="0" fillId="0" fontId="33" numFmtId="0" xfId="0" applyAlignment="1" applyFont="1">
      <alignment horizontal="right"/>
    </xf>
    <xf borderId="0" fillId="0" fontId="36" numFmtId="0" xfId="0" applyAlignment="1" applyFont="1">
      <alignment shrinkToFit="0" vertical="center" wrapText="1"/>
    </xf>
    <xf borderId="0" fillId="0" fontId="5" numFmtId="0" xfId="0" applyAlignment="1" applyFont="1">
      <alignment horizontal="left" shrinkToFit="0" vertical="center" wrapText="1"/>
    </xf>
    <xf borderId="0" fillId="0" fontId="5" numFmtId="0" xfId="0" applyAlignment="1" applyFont="1">
      <alignment horizontal="left"/>
    </xf>
    <xf borderId="0" fillId="0" fontId="36" numFmtId="0" xfId="0" applyFont="1"/>
    <xf borderId="0" fillId="0" fontId="35" numFmtId="0" xfId="0" applyAlignment="1" applyFont="1">
      <alignment horizontal="left" shrinkToFit="0" wrapText="1"/>
    </xf>
    <xf borderId="0" fillId="0" fontId="14" numFmtId="0" xfId="0" applyAlignment="1" applyFont="1">
      <alignment horizontal="left"/>
    </xf>
    <xf quotePrefix="1" borderId="0" fillId="0" fontId="5" numFmtId="0" xfId="0" applyAlignment="1" applyFont="1">
      <alignment shrinkToFit="0" wrapText="1"/>
    </xf>
    <xf borderId="0" fillId="0" fontId="11" numFmtId="0" xfId="0" applyAlignment="1" applyFont="1">
      <alignment horizontal="left" vertical="center"/>
    </xf>
    <xf borderId="0" fillId="0" fontId="37" numFmtId="0" xfId="0" applyAlignment="1" applyFont="1">
      <alignment horizontal="left" shrinkToFit="0" wrapText="1"/>
    </xf>
    <xf borderId="19" fillId="0" fontId="3" numFmtId="0" xfId="0" applyBorder="1" applyFont="1"/>
    <xf borderId="19" fillId="0" fontId="37" numFmtId="0" xfId="0" applyAlignment="1" applyBorder="1" applyFont="1">
      <alignment horizontal="left" shrinkToFit="0" wrapText="1"/>
    </xf>
    <xf borderId="20" fillId="0" fontId="3" numFmtId="0" xfId="0" applyBorder="1" applyFont="1"/>
    <xf borderId="19" fillId="0" fontId="38" numFmtId="0" xfId="0" applyAlignment="1" applyBorder="1" applyFont="1">
      <alignment shrinkToFit="0" wrapText="1"/>
    </xf>
    <xf borderId="20" fillId="0" fontId="37" numFmtId="0" xfId="0" applyAlignment="1" applyBorder="1" applyFont="1">
      <alignment horizontal="left" shrinkToFit="0" wrapText="1"/>
    </xf>
    <xf borderId="20" fillId="0" fontId="39" numFmtId="0" xfId="0" applyAlignment="1" applyBorder="1" applyFont="1">
      <alignment horizontal="left" shrinkToFit="0" wrapText="1"/>
    </xf>
    <xf borderId="20" fillId="0" fontId="40" numFmtId="0" xfId="0" applyAlignment="1" applyBorder="1" applyFont="1">
      <alignment horizontal="left" shrinkToFit="0" wrapText="1"/>
    </xf>
    <xf borderId="20" fillId="0" fontId="37" numFmtId="0" xfId="0" applyAlignment="1" applyBorder="1" applyFont="1">
      <alignment horizontal="left"/>
    </xf>
  </cellXfs>
  <cellStyles count="1">
    <cellStyle xfId="0" name="Normal" builtinId="0"/>
  </cellStyles>
  <dxfs count="4">
    <dxf>
      <font>
        <color theme="0"/>
      </font>
      <fill>
        <patternFill patternType="solid">
          <fgColor theme="5"/>
          <bgColor theme="5"/>
        </patternFill>
      </fill>
      <border/>
    </dxf>
    <dxf>
      <font/>
      <fill>
        <patternFill patternType="none"/>
      </fill>
      <border>
        <left style="thin">
          <color rgb="FFC00000"/>
        </left>
        <right style="thin">
          <color rgb="FFC00000"/>
        </right>
      </border>
    </dxf>
    <dxf>
      <font/>
      <fill>
        <patternFill patternType="solid">
          <fgColor rgb="FF7F7F7F"/>
          <bgColor rgb="FF7F7F7F"/>
        </patternFill>
      </fill>
      <border/>
    </dxf>
    <dxf>
      <font/>
      <fill>
        <patternFill patternType="solid">
          <fgColor rgb="FF0070C0"/>
          <bgColor rgb="FF0070C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114300</xdr:colOff>
      <xdr:row>2</xdr:row>
      <xdr:rowOff>123825</xdr:rowOff>
    </xdr:from>
    <xdr:ext cx="2009775" cy="1685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0</xdr:row>
      <xdr:rowOff>0</xdr:rowOff>
    </xdr:from>
    <xdr:ext cx="1685925" cy="3810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685925" cy="3810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685925" cy="3810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www.vertex42.com/Links/go.php?urlid=GanttChartPro" TargetMode="External"/><Relationship Id="rId2" Type="http://schemas.openxmlformats.org/officeDocument/2006/relationships/hyperlink" Target="https://www.vertex42.com/blog/business/pm/new-gantt-chart-for-excel-online.html" TargetMode="External"/><Relationship Id="rId3" Type="http://schemas.openxmlformats.org/officeDocument/2006/relationships/hyperlink" Target="https://www.vertex42.com/Links/go.php?urlid=GanttChartPro"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vertex42.com/ExcelTemplates/excel-gantt-chart.html" TargetMode="External"/><Relationship Id="rId3" Type="http://schemas.openxmlformats.org/officeDocument/2006/relationships/hyperlink" Target="https://www.vertex42.com/Links/go.php?urlid=GanttChartPro" TargetMode="External"/><Relationship Id="rId4" Type="http://schemas.openxmlformats.org/officeDocument/2006/relationships/hyperlink" Target="https://excel.uservoice.com/forums/304921-excel-for-windows-desktop-application/suggestions/19676413-make-paste-and-merge-conditional-formatting-the" TargetMode="External"/><Relationship Id="rId5" Type="http://schemas.openxmlformats.org/officeDocument/2006/relationships/drawing" Target="../drawings/drawing3.xml"/><Relationship Id="rId6"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s://www.vertex42.com/ExcelTemplates/excel-gantt-chart.html" TargetMode="External"/><Relationship Id="rId2" Type="http://schemas.openxmlformats.org/officeDocument/2006/relationships/hyperlink" Target="https://www.vertex42.com/licensing/EULA_privateuse.html" TargetMode="External"/><Relationship Id="rId3"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7.0" topLeftCell="A8" activePane="bottomLeft" state="frozen"/>
      <selection activeCell="B9" sqref="B9" pane="bottomLeft"/>
    </sheetView>
  </sheetViews>
  <sheetFormatPr customHeight="1" defaultColWidth="12.63" defaultRowHeight="15.0"/>
  <cols>
    <col customWidth="1" min="1" max="1" width="6.88"/>
    <col customWidth="1" min="2" max="2" width="19.0"/>
    <col customWidth="1" min="3" max="3" width="7.75"/>
    <col customWidth="1" hidden="1" min="4" max="4" width="6.88"/>
    <col customWidth="1" min="5" max="6" width="12.0"/>
    <col customWidth="1" min="7" max="7" width="6.0"/>
    <col customWidth="1" min="8" max="8" width="6.75"/>
    <col customWidth="1" min="9" max="9" width="6.38"/>
    <col customWidth="1" min="10" max="10" width="1.88"/>
    <col customWidth="1" min="11" max="66" width="2.38"/>
  </cols>
  <sheetData>
    <row r="1" ht="30.0" customHeight="1">
      <c r="A1" s="1" t="s">
        <v>0</v>
      </c>
      <c r="B1" s="2"/>
      <c r="C1" s="2"/>
      <c r="D1" s="2"/>
      <c r="E1" s="2"/>
      <c r="F1" s="2"/>
      <c r="I1" s="3"/>
      <c r="K1" s="4" t="s">
        <v>1</v>
      </c>
    </row>
    <row r="2" ht="18.0" customHeight="1">
      <c r="A2" s="5" t="s">
        <v>2</v>
      </c>
      <c r="B2" s="6"/>
      <c r="C2" s="6"/>
      <c r="D2" s="7"/>
      <c r="E2" s="8"/>
      <c r="F2" s="8"/>
      <c r="H2" s="9"/>
    </row>
    <row r="3" ht="12.75" customHeight="1">
      <c r="A3" s="10"/>
      <c r="B3" s="11"/>
      <c r="H3" s="9"/>
      <c r="K3" s="12"/>
      <c r="L3" s="12"/>
      <c r="M3" s="12"/>
      <c r="N3" s="12"/>
      <c r="O3" s="12"/>
      <c r="P3" s="12"/>
      <c r="Q3" s="12"/>
      <c r="R3" s="12"/>
      <c r="S3" s="12"/>
      <c r="T3" s="12"/>
      <c r="U3" s="12"/>
      <c r="V3" s="12"/>
      <c r="W3" s="12"/>
      <c r="X3" s="12"/>
      <c r="Y3" s="12"/>
      <c r="Z3" s="12"/>
      <c r="AA3" s="12"/>
    </row>
    <row r="4" ht="17.25" customHeight="1">
      <c r="A4" s="11"/>
      <c r="B4" s="3" t="s">
        <v>3</v>
      </c>
      <c r="C4" s="13">
        <v>46122.0</v>
      </c>
      <c r="D4" s="14"/>
      <c r="E4" s="14"/>
      <c r="F4" s="11"/>
      <c r="G4" s="3" t="s">
        <v>4</v>
      </c>
      <c r="H4" s="15">
        <v>1.0</v>
      </c>
      <c r="I4" s="11"/>
      <c r="J4" s="11"/>
      <c r="K4" s="16" t="str">
        <f>"Week "&amp;(K6-($C$4-WEEKDAY($C$4,1)+2))/7+1</f>
        <v>Week 1</v>
      </c>
      <c r="Q4" s="17"/>
      <c r="R4" s="16" t="str">
        <f>"Week "&amp;(R6-($C$4-WEEKDAY($C$4,1)+2))/7+1</f>
        <v>Week 2</v>
      </c>
      <c r="X4" s="17"/>
      <c r="Y4" s="16" t="str">
        <f>"Week "&amp;(Y6-($C$4-WEEKDAY($C$4,1)+2))/7+1</f>
        <v>Week 3</v>
      </c>
      <c r="AE4" s="17"/>
      <c r="AF4" s="16" t="str">
        <f>"Week "&amp;(AF6-($C$4-WEEKDAY($C$4,1)+2))/7+1</f>
        <v>Week 4</v>
      </c>
      <c r="AL4" s="17"/>
      <c r="AM4" s="16" t="str">
        <f>"Week "&amp;(AM6-($C$4-WEEKDAY($C$4,1)+2))/7+1</f>
        <v>Week 5</v>
      </c>
      <c r="AS4" s="17"/>
      <c r="AT4" s="16" t="str">
        <f>"Week "&amp;(AT6-($C$4-WEEKDAY($C$4,1)+2))/7+1</f>
        <v>Week 6</v>
      </c>
      <c r="AZ4" s="17"/>
      <c r="BA4" s="16" t="str">
        <f>"Week "&amp;(BA6-($C$4-WEEKDAY($C$4,1)+2))/7+1</f>
        <v>Week 7</v>
      </c>
      <c r="BG4" s="17"/>
      <c r="BH4" s="16" t="str">
        <f>"Week "&amp;(BH6-($C$4-WEEKDAY($C$4,1)+2))/7+1</f>
        <v>Week 8</v>
      </c>
      <c r="BN4" s="17"/>
    </row>
    <row r="5" ht="17.25" customHeight="1">
      <c r="A5" s="11"/>
      <c r="B5" s="3" t="s">
        <v>5</v>
      </c>
      <c r="C5" s="18"/>
      <c r="D5" s="19"/>
      <c r="E5" s="19"/>
      <c r="F5" s="11"/>
      <c r="G5" s="11"/>
      <c r="H5" s="11"/>
      <c r="I5" s="11"/>
      <c r="J5" s="11"/>
      <c r="K5" s="20">
        <f>K6</f>
        <v>46118</v>
      </c>
      <c r="Q5" s="17"/>
      <c r="R5" s="20">
        <f>R6</f>
        <v>46125</v>
      </c>
      <c r="X5" s="17"/>
      <c r="Y5" s="20">
        <f>Y6</f>
        <v>46132</v>
      </c>
      <c r="AE5" s="17"/>
      <c r="AF5" s="20">
        <f>AF6</f>
        <v>46139</v>
      </c>
      <c r="AL5" s="17"/>
      <c r="AM5" s="20">
        <f>AM6</f>
        <v>46146</v>
      </c>
      <c r="AS5" s="17"/>
      <c r="AT5" s="20">
        <f>AT6</f>
        <v>46153</v>
      </c>
      <c r="AZ5" s="17"/>
      <c r="BA5" s="20">
        <f>BA6</f>
        <v>46160</v>
      </c>
      <c r="BG5" s="17"/>
      <c r="BH5" s="20">
        <f>BH6</f>
        <v>46167</v>
      </c>
      <c r="BN5" s="17"/>
    </row>
    <row r="6" ht="12.75" customHeight="1">
      <c r="A6" s="11"/>
      <c r="B6" s="11"/>
      <c r="C6" s="11"/>
      <c r="D6" s="11"/>
      <c r="E6" s="11"/>
      <c r="F6" s="11"/>
      <c r="G6" s="11"/>
      <c r="H6" s="11"/>
      <c r="I6" s="11"/>
      <c r="J6" s="11"/>
      <c r="K6" s="21">
        <f>C4-WEEKDAY(C4,1)+2+7*(H4-1)</f>
        <v>46118</v>
      </c>
      <c r="L6" s="22">
        <f t="shared" ref="L6:BN6" si="1">K6+1</f>
        <v>46119</v>
      </c>
      <c r="M6" s="22">
        <f t="shared" si="1"/>
        <v>46120</v>
      </c>
      <c r="N6" s="22">
        <f t="shared" si="1"/>
        <v>46121</v>
      </c>
      <c r="O6" s="22">
        <f t="shared" si="1"/>
        <v>46122</v>
      </c>
      <c r="P6" s="22">
        <f t="shared" si="1"/>
        <v>46123</v>
      </c>
      <c r="Q6" s="23">
        <f t="shared" si="1"/>
        <v>46124</v>
      </c>
      <c r="R6" s="21">
        <f t="shared" si="1"/>
        <v>46125</v>
      </c>
      <c r="S6" s="22">
        <f t="shared" si="1"/>
        <v>46126</v>
      </c>
      <c r="T6" s="22">
        <f t="shared" si="1"/>
        <v>46127</v>
      </c>
      <c r="U6" s="22">
        <f t="shared" si="1"/>
        <v>46128</v>
      </c>
      <c r="V6" s="22">
        <f t="shared" si="1"/>
        <v>46129</v>
      </c>
      <c r="W6" s="22">
        <f t="shared" si="1"/>
        <v>46130</v>
      </c>
      <c r="X6" s="23">
        <f t="shared" si="1"/>
        <v>46131</v>
      </c>
      <c r="Y6" s="21">
        <f t="shared" si="1"/>
        <v>46132</v>
      </c>
      <c r="Z6" s="22">
        <f t="shared" si="1"/>
        <v>46133</v>
      </c>
      <c r="AA6" s="22">
        <f t="shared" si="1"/>
        <v>46134</v>
      </c>
      <c r="AB6" s="22">
        <f t="shared" si="1"/>
        <v>46135</v>
      </c>
      <c r="AC6" s="22">
        <f t="shared" si="1"/>
        <v>46136</v>
      </c>
      <c r="AD6" s="22">
        <f t="shared" si="1"/>
        <v>46137</v>
      </c>
      <c r="AE6" s="23">
        <f t="shared" si="1"/>
        <v>46138</v>
      </c>
      <c r="AF6" s="21">
        <f t="shared" si="1"/>
        <v>46139</v>
      </c>
      <c r="AG6" s="22">
        <f t="shared" si="1"/>
        <v>46140</v>
      </c>
      <c r="AH6" s="22">
        <f t="shared" si="1"/>
        <v>46141</v>
      </c>
      <c r="AI6" s="22">
        <f t="shared" si="1"/>
        <v>46142</v>
      </c>
      <c r="AJ6" s="22">
        <f t="shared" si="1"/>
        <v>46143</v>
      </c>
      <c r="AK6" s="22">
        <f t="shared" si="1"/>
        <v>46144</v>
      </c>
      <c r="AL6" s="23">
        <f t="shared" si="1"/>
        <v>46145</v>
      </c>
      <c r="AM6" s="21">
        <f t="shared" si="1"/>
        <v>46146</v>
      </c>
      <c r="AN6" s="22">
        <f t="shared" si="1"/>
        <v>46147</v>
      </c>
      <c r="AO6" s="22">
        <f t="shared" si="1"/>
        <v>46148</v>
      </c>
      <c r="AP6" s="22">
        <f t="shared" si="1"/>
        <v>46149</v>
      </c>
      <c r="AQ6" s="22">
        <f t="shared" si="1"/>
        <v>46150</v>
      </c>
      <c r="AR6" s="22">
        <f t="shared" si="1"/>
        <v>46151</v>
      </c>
      <c r="AS6" s="23">
        <f t="shared" si="1"/>
        <v>46152</v>
      </c>
      <c r="AT6" s="21">
        <f t="shared" si="1"/>
        <v>46153</v>
      </c>
      <c r="AU6" s="22">
        <f t="shared" si="1"/>
        <v>46154</v>
      </c>
      <c r="AV6" s="22">
        <f t="shared" si="1"/>
        <v>46155</v>
      </c>
      <c r="AW6" s="22">
        <f t="shared" si="1"/>
        <v>46156</v>
      </c>
      <c r="AX6" s="22">
        <f t="shared" si="1"/>
        <v>46157</v>
      </c>
      <c r="AY6" s="22">
        <f t="shared" si="1"/>
        <v>46158</v>
      </c>
      <c r="AZ6" s="23">
        <f t="shared" si="1"/>
        <v>46159</v>
      </c>
      <c r="BA6" s="21">
        <f t="shared" si="1"/>
        <v>46160</v>
      </c>
      <c r="BB6" s="22">
        <f t="shared" si="1"/>
        <v>46161</v>
      </c>
      <c r="BC6" s="22">
        <f t="shared" si="1"/>
        <v>46162</v>
      </c>
      <c r="BD6" s="22">
        <f t="shared" si="1"/>
        <v>46163</v>
      </c>
      <c r="BE6" s="22">
        <f t="shared" si="1"/>
        <v>46164</v>
      </c>
      <c r="BF6" s="22">
        <f t="shared" si="1"/>
        <v>46165</v>
      </c>
      <c r="BG6" s="23">
        <f t="shared" si="1"/>
        <v>46166</v>
      </c>
      <c r="BH6" s="21">
        <f t="shared" si="1"/>
        <v>46167</v>
      </c>
      <c r="BI6" s="22">
        <f t="shared" si="1"/>
        <v>46168</v>
      </c>
      <c r="BJ6" s="22">
        <f t="shared" si="1"/>
        <v>46169</v>
      </c>
      <c r="BK6" s="22">
        <f t="shared" si="1"/>
        <v>46170</v>
      </c>
      <c r="BL6" s="22">
        <f t="shared" si="1"/>
        <v>46171</v>
      </c>
      <c r="BM6" s="22">
        <f t="shared" si="1"/>
        <v>46172</v>
      </c>
      <c r="BN6" s="23">
        <f t="shared" si="1"/>
        <v>46173</v>
      </c>
    </row>
    <row r="7" ht="12.75" customHeight="1">
      <c r="A7" s="24" t="s">
        <v>6</v>
      </c>
      <c r="B7" s="24" t="s">
        <v>7</v>
      </c>
      <c r="C7" s="25" t="s">
        <v>8</v>
      </c>
      <c r="D7" s="26" t="s">
        <v>9</v>
      </c>
      <c r="E7" s="27" t="s">
        <v>10</v>
      </c>
      <c r="F7" s="27" t="s">
        <v>11</v>
      </c>
      <c r="G7" s="25" t="s">
        <v>12</v>
      </c>
      <c r="H7" s="25" t="s">
        <v>13</v>
      </c>
      <c r="I7" s="25" t="s">
        <v>14</v>
      </c>
      <c r="J7" s="25"/>
      <c r="K7" s="28" t="str">
        <f t="shared" ref="K7:BN7" si="2">CHOOSE(WEEKDAY(K6,1),"S","M","T","W","T","F","S")</f>
        <v>M</v>
      </c>
      <c r="L7" s="29" t="str">
        <f t="shared" si="2"/>
        <v>T</v>
      </c>
      <c r="M7" s="29" t="str">
        <f t="shared" si="2"/>
        <v>W</v>
      </c>
      <c r="N7" s="29" t="str">
        <f t="shared" si="2"/>
        <v>T</v>
      </c>
      <c r="O7" s="29" t="str">
        <f t="shared" si="2"/>
        <v>F</v>
      </c>
      <c r="P7" s="29" t="str">
        <f t="shared" si="2"/>
        <v>S</v>
      </c>
      <c r="Q7" s="30" t="str">
        <f t="shared" si="2"/>
        <v>S</v>
      </c>
      <c r="R7" s="28" t="str">
        <f t="shared" si="2"/>
        <v>M</v>
      </c>
      <c r="S7" s="29" t="str">
        <f t="shared" si="2"/>
        <v>T</v>
      </c>
      <c r="T7" s="29" t="str">
        <f t="shared" si="2"/>
        <v>W</v>
      </c>
      <c r="U7" s="29" t="str">
        <f t="shared" si="2"/>
        <v>T</v>
      </c>
      <c r="V7" s="29" t="str">
        <f t="shared" si="2"/>
        <v>F</v>
      </c>
      <c r="W7" s="29" t="str">
        <f t="shared" si="2"/>
        <v>S</v>
      </c>
      <c r="X7" s="30" t="str">
        <f t="shared" si="2"/>
        <v>S</v>
      </c>
      <c r="Y7" s="28" t="str">
        <f t="shared" si="2"/>
        <v>M</v>
      </c>
      <c r="Z7" s="29" t="str">
        <f t="shared" si="2"/>
        <v>T</v>
      </c>
      <c r="AA7" s="29" t="str">
        <f t="shared" si="2"/>
        <v>W</v>
      </c>
      <c r="AB7" s="29" t="str">
        <f t="shared" si="2"/>
        <v>T</v>
      </c>
      <c r="AC7" s="29" t="str">
        <f t="shared" si="2"/>
        <v>F</v>
      </c>
      <c r="AD7" s="29" t="str">
        <f t="shared" si="2"/>
        <v>S</v>
      </c>
      <c r="AE7" s="30" t="str">
        <f t="shared" si="2"/>
        <v>S</v>
      </c>
      <c r="AF7" s="28" t="str">
        <f t="shared" si="2"/>
        <v>M</v>
      </c>
      <c r="AG7" s="29" t="str">
        <f t="shared" si="2"/>
        <v>T</v>
      </c>
      <c r="AH7" s="29" t="str">
        <f t="shared" si="2"/>
        <v>W</v>
      </c>
      <c r="AI7" s="29" t="str">
        <f t="shared" si="2"/>
        <v>T</v>
      </c>
      <c r="AJ7" s="29" t="str">
        <f t="shared" si="2"/>
        <v>F</v>
      </c>
      <c r="AK7" s="29" t="str">
        <f t="shared" si="2"/>
        <v>S</v>
      </c>
      <c r="AL7" s="30" t="str">
        <f t="shared" si="2"/>
        <v>S</v>
      </c>
      <c r="AM7" s="28" t="str">
        <f t="shared" si="2"/>
        <v>M</v>
      </c>
      <c r="AN7" s="29" t="str">
        <f t="shared" si="2"/>
        <v>T</v>
      </c>
      <c r="AO7" s="29" t="str">
        <f t="shared" si="2"/>
        <v>W</v>
      </c>
      <c r="AP7" s="29" t="str">
        <f t="shared" si="2"/>
        <v>T</v>
      </c>
      <c r="AQ7" s="29" t="str">
        <f t="shared" si="2"/>
        <v>F</v>
      </c>
      <c r="AR7" s="29" t="str">
        <f t="shared" si="2"/>
        <v>S</v>
      </c>
      <c r="AS7" s="30" t="str">
        <f t="shared" si="2"/>
        <v>S</v>
      </c>
      <c r="AT7" s="28" t="str">
        <f t="shared" si="2"/>
        <v>M</v>
      </c>
      <c r="AU7" s="29" t="str">
        <f t="shared" si="2"/>
        <v>T</v>
      </c>
      <c r="AV7" s="29" t="str">
        <f t="shared" si="2"/>
        <v>W</v>
      </c>
      <c r="AW7" s="29" t="str">
        <f t="shared" si="2"/>
        <v>T</v>
      </c>
      <c r="AX7" s="29" t="str">
        <f t="shared" si="2"/>
        <v>F</v>
      </c>
      <c r="AY7" s="29" t="str">
        <f t="shared" si="2"/>
        <v>S</v>
      </c>
      <c r="AZ7" s="30" t="str">
        <f t="shared" si="2"/>
        <v>S</v>
      </c>
      <c r="BA7" s="28" t="str">
        <f t="shared" si="2"/>
        <v>M</v>
      </c>
      <c r="BB7" s="29" t="str">
        <f t="shared" si="2"/>
        <v>T</v>
      </c>
      <c r="BC7" s="29" t="str">
        <f t="shared" si="2"/>
        <v>W</v>
      </c>
      <c r="BD7" s="29" t="str">
        <f t="shared" si="2"/>
        <v>T</v>
      </c>
      <c r="BE7" s="29" t="str">
        <f t="shared" si="2"/>
        <v>F</v>
      </c>
      <c r="BF7" s="29" t="str">
        <f t="shared" si="2"/>
        <v>S</v>
      </c>
      <c r="BG7" s="30" t="str">
        <f t="shared" si="2"/>
        <v>S</v>
      </c>
      <c r="BH7" s="28" t="str">
        <f t="shared" si="2"/>
        <v>M</v>
      </c>
      <c r="BI7" s="29" t="str">
        <f t="shared" si="2"/>
        <v>T</v>
      </c>
      <c r="BJ7" s="29" t="str">
        <f t="shared" si="2"/>
        <v>W</v>
      </c>
      <c r="BK7" s="29" t="str">
        <f t="shared" si="2"/>
        <v>T</v>
      </c>
      <c r="BL7" s="29" t="str">
        <f t="shared" si="2"/>
        <v>F</v>
      </c>
      <c r="BM7" s="29" t="str">
        <f t="shared" si="2"/>
        <v>S</v>
      </c>
      <c r="BN7" s="30" t="str">
        <f t="shared" si="2"/>
        <v>S</v>
      </c>
    </row>
    <row r="8" ht="12.75" customHeight="1">
      <c r="A8" s="31" t="str">
        <f>IF(ISERROR(VALUE(SUBSTITUTE(GanttChart!prevWBS,".",""))),"1",IF(ISERROR(FIND("`",SUBSTITUTE(GanttChart!prevWBS,".","`",1))),TEXT(VALUE(GanttChart!prevWBS)+1,"#"),TEXT(VALUE(LEFT(GanttChart!prevWBS,FIND("`",SUBSTITUTE(GanttChart!prevWBS,".","`",1))-1))+1,"#")))</f>
        <v>1</v>
      </c>
      <c r="B8" s="32" t="s">
        <v>15</v>
      </c>
      <c r="C8" s="33"/>
      <c r="D8" s="34"/>
      <c r="E8" s="35"/>
      <c r="F8" s="36" t="str">
        <f t="shared" ref="F8:F33" si="3">IF(ISBLANK(E8)," - ",IF(G8=0,E8,E8+G8-1))</f>
        <v> - </v>
      </c>
      <c r="G8" s="37"/>
      <c r="H8" s="38"/>
      <c r="I8" s="37" t="str">
        <f t="shared" ref="I8:I35" si="4">IF(OR(F8=0,E8=0)," - ",NETWORKDAYS(E8,F8))</f>
        <v> - </v>
      </c>
      <c r="J8" s="39"/>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row>
    <row r="9" ht="12.75" customHeight="1">
      <c r="A9" s="41"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9" s="42" t="s">
        <v>16</v>
      </c>
      <c r="C9" s="43"/>
      <c r="D9" s="44"/>
      <c r="E9" s="45">
        <v>46118.0</v>
      </c>
      <c r="F9" s="46">
        <f t="shared" si="3"/>
        <v>46124</v>
      </c>
      <c r="G9" s="47">
        <v>7.0</v>
      </c>
      <c r="H9" s="48">
        <v>0.2</v>
      </c>
      <c r="I9" s="49">
        <f t="shared" si="4"/>
        <v>5</v>
      </c>
      <c r="J9" s="50"/>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row>
    <row r="10" ht="12.75" customHeight="1">
      <c r="A10" s="41"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10" s="42" t="s">
        <v>17</v>
      </c>
      <c r="C10" s="51"/>
      <c r="D10" s="44"/>
      <c r="E10" s="45">
        <v>46118.0</v>
      </c>
      <c r="F10" s="46">
        <f t="shared" si="3"/>
        <v>46124</v>
      </c>
      <c r="G10" s="47">
        <v>7.0</v>
      </c>
      <c r="H10" s="48">
        <v>0.2</v>
      </c>
      <c r="I10" s="49">
        <f t="shared" si="4"/>
        <v>5</v>
      </c>
      <c r="J10" s="50"/>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row>
    <row r="11" ht="12.75" customHeight="1">
      <c r="A11" s="41"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11" s="42" t="s">
        <v>18</v>
      </c>
      <c r="C11" s="51"/>
      <c r="D11" s="44"/>
      <c r="E11" s="45">
        <v>46118.0</v>
      </c>
      <c r="F11" s="46">
        <f t="shared" si="3"/>
        <v>46124</v>
      </c>
      <c r="G11" s="47">
        <v>7.0</v>
      </c>
      <c r="H11" s="48">
        <v>0.5</v>
      </c>
      <c r="I11" s="49">
        <f t="shared" si="4"/>
        <v>5</v>
      </c>
      <c r="J11" s="50"/>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row>
    <row r="12" ht="12.75" customHeight="1">
      <c r="A12" s="41" t="str">
        <f>IF(ISERROR(VALUE(SUBSTITUTE(GanttChart!prevWBS,".",""))),"0.0.1",IF(ISERROR(FIND("`",SUBSTITUTE(GanttChart!prevWBS,".","`",2))),GanttChart!prevWBS&amp;".1",LEFT(GanttChart!prevWBS,FIND("`",SUBSTITUTE(GanttChart!prevWBS,".","`",2)))&amp;IF(ISERROR(FIND("`",SUBSTITUTE(GanttChart!prevWBS,".","`",3))),VALUE(RIGHT(GanttChart!prevWBS,LEN(GanttChart!prevWBS)-FIND("`",SUBSTITUTE(GanttChart!prevWBS,".","`",2))))+1,VALUE(MID(GanttChart!prevWBS,FIND("`",SUBSTITUTE(GanttChart!prevWBS,".","`",2))+1,(FIND("`",SUBSTITUTE(GanttChart!prevWBS,".","`",3))-FIND("`",SUBSTITUTE(GanttChart!prevWBS,".","`",2))-1)))+1)))</f>
        <v>.1</v>
      </c>
      <c r="B12" s="52" t="s">
        <v>19</v>
      </c>
      <c r="C12" s="51"/>
      <c r="D12" s="44"/>
      <c r="E12" s="45"/>
      <c r="F12" s="46" t="str">
        <f t="shared" si="3"/>
        <v> - </v>
      </c>
      <c r="G12" s="47"/>
      <c r="H12" s="48">
        <v>0.0</v>
      </c>
      <c r="I12" s="49" t="str">
        <f t="shared" si="4"/>
        <v> - </v>
      </c>
      <c r="J12" s="50"/>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row>
    <row r="13" ht="12.75" customHeight="1">
      <c r="A13" s="41" t="str">
        <f>IF(ISERROR(VALUE(SUBSTITUTE(GanttChart!prevWBS,".",""))),"0.0.1",IF(ISERROR(FIND("`",SUBSTITUTE(GanttChart!prevWBS,".","`",2))),GanttChart!prevWBS&amp;".1",LEFT(GanttChart!prevWBS,FIND("`",SUBSTITUTE(GanttChart!prevWBS,".","`",2)))&amp;IF(ISERROR(FIND("`",SUBSTITUTE(GanttChart!prevWBS,".","`",3))),VALUE(RIGHT(GanttChart!prevWBS,LEN(GanttChart!prevWBS)-FIND("`",SUBSTITUTE(GanttChart!prevWBS,".","`",2))))+1,VALUE(MID(GanttChart!prevWBS,FIND("`",SUBSTITUTE(GanttChart!prevWBS,".","`",2))+1,(FIND("`",SUBSTITUTE(GanttChart!prevWBS,".","`",3))-FIND("`",SUBSTITUTE(GanttChart!prevWBS,".","`",2))-1)))+1)))</f>
        <v>.1</v>
      </c>
      <c r="B13" s="52" t="s">
        <v>19</v>
      </c>
      <c r="C13" s="51"/>
      <c r="D13" s="44"/>
      <c r="E13" s="45"/>
      <c r="F13" s="46" t="str">
        <f t="shared" si="3"/>
        <v> - </v>
      </c>
      <c r="G13" s="47"/>
      <c r="H13" s="48">
        <v>0.0</v>
      </c>
      <c r="I13" s="49" t="str">
        <f t="shared" si="4"/>
        <v> - </v>
      </c>
      <c r="J13" s="50"/>
      <c r="K13" s="41"/>
      <c r="L13" s="41"/>
      <c r="M13" s="41"/>
      <c r="N13" s="41"/>
      <c r="O13" s="41"/>
      <c r="P13" s="41"/>
      <c r="Q13" s="41"/>
      <c r="R13" s="41"/>
      <c r="S13" s="41"/>
      <c r="T13" s="41"/>
      <c r="U13" s="41"/>
      <c r="V13" s="41"/>
      <c r="W13" s="41"/>
      <c r="X13" s="41"/>
      <c r="Y13" s="41"/>
      <c r="Z13" s="41"/>
      <c r="AA13" s="41"/>
      <c r="AB13" s="41"/>
      <c r="AC13" s="41"/>
      <c r="AD13" s="41"/>
      <c r="AE13" s="41"/>
      <c r="AF13" s="41"/>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1"/>
      <c r="BJ13" s="41"/>
      <c r="BK13" s="41"/>
      <c r="BL13" s="41"/>
      <c r="BM13" s="41"/>
      <c r="BN13" s="41"/>
    </row>
    <row r="14" ht="12.75" customHeight="1">
      <c r="A14" s="41"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14" s="52" t="s">
        <v>19</v>
      </c>
      <c r="C14" s="51"/>
      <c r="D14" s="44"/>
      <c r="E14" s="45"/>
      <c r="F14" s="46" t="str">
        <f t="shared" si="3"/>
        <v> - </v>
      </c>
      <c r="G14" s="47"/>
      <c r="H14" s="53">
        <v>0.0</v>
      </c>
      <c r="I14" s="49" t="str">
        <f t="shared" si="4"/>
        <v> - </v>
      </c>
      <c r="J14" s="50"/>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row>
    <row r="15" ht="12.75" customHeight="1">
      <c r="A15" s="41"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15" s="52" t="s">
        <v>19</v>
      </c>
      <c r="C15" s="51"/>
      <c r="D15" s="44"/>
      <c r="E15" s="45"/>
      <c r="F15" s="46" t="str">
        <f t="shared" si="3"/>
        <v> - </v>
      </c>
      <c r="G15" s="47"/>
      <c r="H15" s="53">
        <v>0.0</v>
      </c>
      <c r="I15" s="49" t="str">
        <f t="shared" si="4"/>
        <v> - </v>
      </c>
      <c r="J15" s="50"/>
      <c r="K15" s="41"/>
      <c r="L15" s="41"/>
      <c r="M15" s="4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c r="BL15" s="41"/>
      <c r="BM15" s="41"/>
      <c r="BN15" s="41"/>
    </row>
    <row r="16" ht="12.75" customHeight="1">
      <c r="A16" s="41"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16" s="52" t="s">
        <v>19</v>
      </c>
      <c r="C16" s="51"/>
      <c r="D16" s="44"/>
      <c r="E16" s="45"/>
      <c r="F16" s="46" t="str">
        <f t="shared" si="3"/>
        <v> - </v>
      </c>
      <c r="G16" s="47"/>
      <c r="H16" s="53">
        <v>0.0</v>
      </c>
      <c r="I16" s="49" t="str">
        <f t="shared" si="4"/>
        <v> - </v>
      </c>
      <c r="J16" s="50"/>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1"/>
      <c r="BJ16" s="41"/>
      <c r="BK16" s="41"/>
      <c r="BL16" s="41"/>
      <c r="BM16" s="41"/>
      <c r="BN16" s="41"/>
    </row>
    <row r="17" ht="12.75" customHeight="1">
      <c r="A17" s="54" t="str">
        <f>IF(ISERROR(VALUE(SUBSTITUTE(GanttChart!prevWBS,".",""))),"1",IF(ISERROR(FIND("`",SUBSTITUTE(GanttChart!prevWBS,".","`",1))),TEXT(VALUE(GanttChart!prevWBS)+1,"#"),TEXT(VALUE(LEFT(GanttChart!prevWBS,FIND("`",SUBSTITUTE(GanttChart!prevWBS,".","`",1))-1))+1,"#")))</f>
        <v>1</v>
      </c>
      <c r="B17" s="55" t="s">
        <v>20</v>
      </c>
      <c r="C17" s="56"/>
      <c r="D17" s="57"/>
      <c r="E17" s="58"/>
      <c r="F17" s="58" t="str">
        <f t="shared" si="3"/>
        <v> - </v>
      </c>
      <c r="G17" s="59"/>
      <c r="H17" s="60"/>
      <c r="I17" s="59" t="str">
        <f t="shared" si="4"/>
        <v> - </v>
      </c>
      <c r="J17" s="61"/>
      <c r="K17" s="62"/>
      <c r="L17" s="62"/>
      <c r="M17" s="62"/>
      <c r="N17" s="62"/>
      <c r="O17" s="62"/>
      <c r="P17" s="62"/>
      <c r="Q17" s="62"/>
      <c r="R17" s="62"/>
      <c r="S17" s="62"/>
      <c r="T17" s="62"/>
      <c r="U17" s="62"/>
      <c r="V17" s="62"/>
      <c r="W17" s="62"/>
      <c r="X17" s="62"/>
      <c r="Y17" s="62"/>
      <c r="Z17" s="62"/>
      <c r="AA17" s="62"/>
      <c r="AB17" s="62"/>
      <c r="AC17" s="62"/>
      <c r="AD17" s="62"/>
      <c r="AE17" s="62"/>
      <c r="AF17" s="62"/>
      <c r="AG17" s="62"/>
      <c r="AH17" s="62"/>
      <c r="AI17" s="62"/>
      <c r="AJ17" s="62"/>
      <c r="AK17" s="62"/>
      <c r="AL17" s="62"/>
      <c r="AM17" s="62"/>
      <c r="AN17" s="62"/>
      <c r="AO17" s="62"/>
      <c r="AP17" s="62"/>
      <c r="AQ17" s="62"/>
      <c r="AR17" s="62"/>
      <c r="AS17" s="62"/>
      <c r="AT17" s="62"/>
      <c r="AU17" s="62"/>
      <c r="AV17" s="62"/>
      <c r="AW17" s="62"/>
      <c r="AX17" s="62"/>
      <c r="AY17" s="62"/>
      <c r="AZ17" s="62"/>
      <c r="BA17" s="62"/>
      <c r="BB17" s="62"/>
      <c r="BC17" s="62"/>
      <c r="BD17" s="62"/>
      <c r="BE17" s="62"/>
      <c r="BF17" s="62"/>
      <c r="BG17" s="62"/>
      <c r="BH17" s="62"/>
      <c r="BI17" s="62"/>
      <c r="BJ17" s="62"/>
      <c r="BK17" s="62"/>
      <c r="BL17" s="62"/>
      <c r="BM17" s="62"/>
      <c r="BN17" s="62"/>
    </row>
    <row r="18" ht="12.75" customHeight="1">
      <c r="A18" s="41"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18" s="42" t="s">
        <v>21</v>
      </c>
      <c r="C18" s="51"/>
      <c r="D18" s="44"/>
      <c r="E18" s="45">
        <v>46121.0</v>
      </c>
      <c r="F18" s="46">
        <f t="shared" si="3"/>
        <v>46123</v>
      </c>
      <c r="G18" s="47">
        <v>3.0</v>
      </c>
      <c r="H18" s="53">
        <v>0.0</v>
      </c>
      <c r="I18" s="49">
        <f t="shared" si="4"/>
        <v>2</v>
      </c>
      <c r="J18" s="50"/>
      <c r="K18" s="41"/>
      <c r="L18" s="41"/>
      <c r="M18" s="41"/>
      <c r="N18" s="41"/>
      <c r="O18" s="41"/>
      <c r="P18" s="41"/>
      <c r="Q18" s="41"/>
      <c r="R18" s="41"/>
      <c r="S18" s="41"/>
      <c r="T18" s="41"/>
      <c r="U18" s="41"/>
      <c r="V18" s="41"/>
      <c r="W18" s="41"/>
      <c r="X18" s="41"/>
      <c r="Y18" s="41"/>
      <c r="Z18" s="41"/>
      <c r="AA18" s="41"/>
      <c r="AB18" s="41"/>
      <c r="AC18" s="41"/>
      <c r="AD18" s="41"/>
      <c r="AE18" s="41"/>
      <c r="AF18" s="41"/>
      <c r="AG18" s="41"/>
      <c r="AH18" s="41"/>
      <c r="AI18" s="41"/>
      <c r="AJ18" s="41"/>
      <c r="AK18" s="41"/>
      <c r="AL18" s="41"/>
      <c r="AM18" s="41"/>
      <c r="AN18" s="41"/>
      <c r="AO18" s="41"/>
      <c r="AP18" s="41"/>
      <c r="AQ18" s="41"/>
      <c r="AR18" s="41"/>
      <c r="AS18" s="41"/>
      <c r="AT18" s="41"/>
      <c r="AU18" s="41"/>
      <c r="AV18" s="41"/>
      <c r="AW18" s="41"/>
      <c r="AX18" s="41"/>
      <c r="AY18" s="41"/>
      <c r="AZ18" s="41"/>
      <c r="BA18" s="41"/>
      <c r="BB18" s="41"/>
      <c r="BC18" s="41"/>
      <c r="BD18" s="41"/>
      <c r="BE18" s="41"/>
      <c r="BF18" s="41"/>
      <c r="BG18" s="41"/>
      <c r="BH18" s="41"/>
      <c r="BI18" s="41"/>
      <c r="BJ18" s="41"/>
      <c r="BK18" s="41"/>
      <c r="BL18" s="41"/>
      <c r="BM18" s="41"/>
      <c r="BN18" s="41"/>
    </row>
    <row r="19" ht="12.75" customHeight="1">
      <c r="A19" s="41"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19" s="42" t="s">
        <v>22</v>
      </c>
      <c r="C19" s="51"/>
      <c r="D19" s="44"/>
      <c r="E19" s="45">
        <v>46122.0</v>
      </c>
      <c r="F19" s="46">
        <f t="shared" si="3"/>
        <v>46131</v>
      </c>
      <c r="G19" s="47">
        <v>10.0</v>
      </c>
      <c r="H19" s="53">
        <v>0.0</v>
      </c>
      <c r="I19" s="49">
        <f t="shared" si="4"/>
        <v>6</v>
      </c>
      <c r="J19" s="50"/>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c r="BE19" s="41"/>
      <c r="BF19" s="41"/>
      <c r="BG19" s="41"/>
      <c r="BH19" s="41"/>
      <c r="BI19" s="41"/>
      <c r="BJ19" s="41"/>
      <c r="BK19" s="41"/>
      <c r="BL19" s="41"/>
      <c r="BM19" s="41"/>
      <c r="BN19" s="41"/>
    </row>
    <row r="20" ht="12.75" customHeight="1">
      <c r="A20" s="41"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20" s="42" t="s">
        <v>23</v>
      </c>
      <c r="C20" s="51"/>
      <c r="D20" s="44"/>
      <c r="E20" s="45">
        <v>46128.0</v>
      </c>
      <c r="F20" s="46">
        <f t="shared" si="3"/>
        <v>46132</v>
      </c>
      <c r="G20" s="47">
        <v>5.0</v>
      </c>
      <c r="H20" s="53">
        <v>0.0</v>
      </c>
      <c r="I20" s="49">
        <f t="shared" si="4"/>
        <v>3</v>
      </c>
      <c r="J20" s="50"/>
      <c r="K20" s="41"/>
      <c r="L20" s="41"/>
      <c r="M20" s="41"/>
      <c r="N20" s="41"/>
      <c r="O20" s="41"/>
      <c r="P20" s="41"/>
      <c r="Q20" s="41"/>
      <c r="R20" s="41"/>
      <c r="S20" s="41"/>
      <c r="T20" s="41"/>
      <c r="U20" s="41"/>
      <c r="V20" s="41"/>
      <c r="W20" s="41"/>
      <c r="X20" s="41"/>
      <c r="Y20" s="41"/>
      <c r="Z20" s="41"/>
      <c r="AA20" s="41"/>
      <c r="AB20" s="41"/>
      <c r="AC20" s="41"/>
      <c r="AD20" s="41"/>
      <c r="AE20" s="41"/>
      <c r="AF20" s="41"/>
      <c r="AG20" s="41"/>
      <c r="AH20" s="41"/>
      <c r="AI20" s="41"/>
      <c r="AJ20" s="41"/>
      <c r="AK20" s="41"/>
      <c r="AL20" s="41"/>
      <c r="AM20" s="41"/>
      <c r="AN20" s="41"/>
      <c r="AO20" s="41"/>
      <c r="AP20" s="41"/>
      <c r="AQ20" s="41"/>
      <c r="AR20" s="41"/>
      <c r="AS20" s="41"/>
      <c r="AT20" s="41"/>
      <c r="AU20" s="41"/>
      <c r="AV20" s="41"/>
      <c r="AW20" s="41"/>
      <c r="AX20" s="41"/>
      <c r="AY20" s="41"/>
      <c r="AZ20" s="41"/>
      <c r="BA20" s="41"/>
      <c r="BB20" s="41"/>
      <c r="BC20" s="41"/>
      <c r="BD20" s="41"/>
      <c r="BE20" s="41"/>
      <c r="BF20" s="41"/>
      <c r="BG20" s="41"/>
      <c r="BH20" s="41"/>
      <c r="BI20" s="41"/>
      <c r="BJ20" s="41"/>
      <c r="BK20" s="41"/>
      <c r="BL20" s="41"/>
      <c r="BM20" s="41"/>
      <c r="BN20" s="41"/>
    </row>
    <row r="21" ht="12.75" customHeight="1">
      <c r="A21" s="41"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21" s="42" t="s">
        <v>24</v>
      </c>
      <c r="C21" s="51"/>
      <c r="D21" s="44"/>
      <c r="E21" s="45">
        <v>46132.0</v>
      </c>
      <c r="F21" s="46">
        <f t="shared" si="3"/>
        <v>46136</v>
      </c>
      <c r="G21" s="47">
        <v>5.0</v>
      </c>
      <c r="H21" s="53">
        <v>0.0</v>
      </c>
      <c r="I21" s="49">
        <f t="shared" si="4"/>
        <v>5</v>
      </c>
      <c r="J21" s="50"/>
      <c r="K21" s="41"/>
      <c r="L21" s="41"/>
      <c r="M21" s="41"/>
      <c r="N21" s="41"/>
      <c r="O21" s="41"/>
      <c r="P21" s="41"/>
      <c r="Q21" s="41"/>
      <c r="R21" s="41"/>
      <c r="S21" s="41"/>
      <c r="T21" s="41"/>
      <c r="U21" s="41"/>
      <c r="V21" s="41"/>
      <c r="W21" s="41"/>
      <c r="X21" s="41"/>
      <c r="Y21" s="41"/>
      <c r="Z21" s="41"/>
      <c r="AA21" s="41"/>
      <c r="AB21" s="41"/>
      <c r="AC21" s="41"/>
      <c r="AD21" s="41"/>
      <c r="AE21" s="41"/>
      <c r="AF21" s="41"/>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c r="BE21" s="41"/>
      <c r="BF21" s="41"/>
      <c r="BG21" s="41"/>
      <c r="BH21" s="41"/>
      <c r="BI21" s="41"/>
      <c r="BJ21" s="41"/>
      <c r="BK21" s="41"/>
      <c r="BL21" s="41"/>
      <c r="BM21" s="41"/>
      <c r="BN21" s="41"/>
    </row>
    <row r="22" ht="12.75" customHeight="1">
      <c r="A22" s="54" t="str">
        <f>IF(ISERROR(VALUE(SUBSTITUTE(GanttChart!prevWBS,".",""))),"1",IF(ISERROR(FIND("`",SUBSTITUTE(GanttChart!prevWBS,".","`",1))),TEXT(VALUE(GanttChart!prevWBS)+1,"#"),TEXT(VALUE(LEFT(GanttChart!prevWBS,FIND("`",SUBSTITUTE(GanttChart!prevWBS,".","`",1))-1))+1,"#")))</f>
        <v>1</v>
      </c>
      <c r="B22" s="55" t="s">
        <v>25</v>
      </c>
      <c r="C22" s="56"/>
      <c r="D22" s="57"/>
      <c r="E22" s="58"/>
      <c r="F22" s="58" t="str">
        <f t="shared" si="3"/>
        <v> - </v>
      </c>
      <c r="G22" s="59"/>
      <c r="H22" s="60"/>
      <c r="I22" s="59" t="str">
        <f t="shared" si="4"/>
        <v> - </v>
      </c>
      <c r="J22" s="61"/>
      <c r="K22" s="62"/>
      <c r="L22" s="62"/>
      <c r="M22" s="62"/>
      <c r="N22" s="62"/>
      <c r="O22" s="62"/>
      <c r="P22" s="62"/>
      <c r="Q22" s="62"/>
      <c r="R22" s="62"/>
      <c r="S22" s="62"/>
      <c r="T22" s="62"/>
      <c r="U22" s="62"/>
      <c r="V22" s="62"/>
      <c r="W22" s="62"/>
      <c r="X22" s="62"/>
      <c r="Y22" s="62"/>
      <c r="Z22" s="62"/>
      <c r="AA22" s="62"/>
      <c r="AB22" s="62"/>
      <c r="AC22" s="62"/>
      <c r="AD22" s="62"/>
      <c r="AE22" s="62"/>
      <c r="AF22" s="62"/>
      <c r="AG22" s="62"/>
      <c r="AH22" s="62"/>
      <c r="AI22" s="62"/>
      <c r="AJ22" s="62"/>
      <c r="AK22" s="62"/>
      <c r="AL22" s="62"/>
      <c r="AM22" s="62"/>
      <c r="AN22" s="62"/>
      <c r="AO22" s="62"/>
      <c r="AP22" s="62"/>
      <c r="AQ22" s="62"/>
      <c r="AR22" s="62"/>
      <c r="AS22" s="62"/>
      <c r="AT22" s="62"/>
      <c r="AU22" s="62"/>
      <c r="AV22" s="62"/>
      <c r="AW22" s="62"/>
      <c r="AX22" s="62"/>
      <c r="AY22" s="62"/>
      <c r="AZ22" s="62"/>
      <c r="BA22" s="62"/>
      <c r="BB22" s="62"/>
      <c r="BC22" s="62"/>
      <c r="BD22" s="62"/>
      <c r="BE22" s="62"/>
      <c r="BF22" s="62"/>
      <c r="BG22" s="62"/>
      <c r="BH22" s="62"/>
      <c r="BI22" s="62"/>
      <c r="BJ22" s="62"/>
      <c r="BK22" s="62"/>
      <c r="BL22" s="62"/>
      <c r="BM22" s="62"/>
      <c r="BN22" s="62"/>
    </row>
    <row r="23" ht="12.75" customHeight="1">
      <c r="A23" s="41"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23" s="42" t="s">
        <v>26</v>
      </c>
      <c r="C23" s="51"/>
      <c r="D23" s="44"/>
      <c r="E23" s="45">
        <v>46139.0</v>
      </c>
      <c r="F23" s="46">
        <f t="shared" si="3"/>
        <v>46145</v>
      </c>
      <c r="G23" s="47">
        <v>7.0</v>
      </c>
      <c r="H23" s="53">
        <v>0.0</v>
      </c>
      <c r="I23" s="49">
        <f t="shared" si="4"/>
        <v>5</v>
      </c>
      <c r="J23" s="50"/>
      <c r="K23" s="41"/>
      <c r="L23" s="41"/>
      <c r="M23" s="41"/>
      <c r="N23" s="41"/>
      <c r="O23" s="41"/>
      <c r="P23" s="41"/>
      <c r="Q23" s="41"/>
      <c r="R23" s="41"/>
      <c r="S23" s="41"/>
      <c r="T23" s="41"/>
      <c r="U23" s="41"/>
      <c r="V23" s="41"/>
      <c r="W23" s="41"/>
      <c r="X23" s="41"/>
      <c r="Y23" s="41"/>
      <c r="Z23" s="41"/>
      <c r="AA23" s="41"/>
      <c r="AB23" s="41"/>
      <c r="AC23" s="41"/>
      <c r="AD23" s="41"/>
      <c r="AE23" s="41"/>
      <c r="AF23" s="41"/>
      <c r="AG23" s="41"/>
      <c r="AH23" s="41"/>
      <c r="AI23" s="41"/>
      <c r="AJ23" s="41"/>
      <c r="AK23" s="41"/>
      <c r="AL23" s="41"/>
      <c r="AM23" s="41"/>
      <c r="AN23" s="41"/>
      <c r="AO23" s="41"/>
      <c r="AP23" s="41"/>
      <c r="AQ23" s="41"/>
      <c r="AR23" s="41"/>
      <c r="AS23" s="41"/>
      <c r="AT23" s="41"/>
      <c r="AU23" s="41"/>
      <c r="AV23" s="41"/>
      <c r="AW23" s="41"/>
      <c r="AX23" s="41"/>
      <c r="AY23" s="41"/>
      <c r="AZ23" s="41"/>
      <c r="BA23" s="41"/>
      <c r="BB23" s="41"/>
      <c r="BC23" s="41"/>
      <c r="BD23" s="41"/>
      <c r="BE23" s="41"/>
      <c r="BF23" s="41"/>
      <c r="BG23" s="41"/>
      <c r="BH23" s="41"/>
      <c r="BI23" s="41"/>
      <c r="BJ23" s="41"/>
      <c r="BK23" s="41"/>
      <c r="BL23" s="41"/>
      <c r="BM23" s="41"/>
      <c r="BN23" s="41"/>
    </row>
    <row r="24" ht="12.75" customHeight="1">
      <c r="A24" s="41"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24" s="42" t="s">
        <v>27</v>
      </c>
      <c r="C24" s="51"/>
      <c r="D24" s="44"/>
      <c r="E24" s="45"/>
      <c r="F24" s="46" t="str">
        <f t="shared" si="3"/>
        <v> - </v>
      </c>
      <c r="G24" s="63">
        <v>3.0</v>
      </c>
      <c r="H24" s="53">
        <v>0.0</v>
      </c>
      <c r="I24" s="49" t="str">
        <f t="shared" si="4"/>
        <v> - </v>
      </c>
      <c r="J24" s="50"/>
      <c r="K24" s="41"/>
      <c r="L24" s="41"/>
      <c r="M24" s="41"/>
      <c r="N24" s="41"/>
      <c r="O24" s="41"/>
      <c r="P24" s="41"/>
      <c r="Q24" s="41"/>
      <c r="R24" s="41"/>
      <c r="S24" s="41"/>
      <c r="T24" s="41"/>
      <c r="U24" s="41"/>
      <c r="V24" s="41"/>
      <c r="W24" s="41"/>
      <c r="X24" s="41"/>
      <c r="Y24" s="41"/>
      <c r="Z24" s="41"/>
      <c r="AA24" s="41"/>
      <c r="AB24" s="41"/>
      <c r="AC24" s="41"/>
      <c r="AD24" s="41"/>
      <c r="AE24" s="41"/>
      <c r="AF24" s="41"/>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41"/>
      <c r="BG24" s="41"/>
      <c r="BH24" s="41"/>
      <c r="BI24" s="41"/>
      <c r="BJ24" s="41"/>
      <c r="BK24" s="41"/>
      <c r="BL24" s="41"/>
      <c r="BM24" s="41"/>
      <c r="BN24" s="41"/>
    </row>
    <row r="25" ht="12.75" customHeight="1">
      <c r="A25" s="41"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25" s="52" t="s">
        <v>19</v>
      </c>
      <c r="C25" s="51"/>
      <c r="D25" s="44"/>
      <c r="E25" s="45"/>
      <c r="F25" s="46" t="str">
        <f t="shared" si="3"/>
        <v> - </v>
      </c>
      <c r="G25" s="63">
        <v>3.0</v>
      </c>
      <c r="H25" s="53">
        <v>0.0</v>
      </c>
      <c r="I25" s="49" t="str">
        <f t="shared" si="4"/>
        <v> - </v>
      </c>
      <c r="J25" s="50"/>
      <c r="K25" s="41"/>
      <c r="L25" s="41"/>
      <c r="M25" s="41"/>
      <c r="N25" s="41"/>
      <c r="O25" s="41"/>
      <c r="P25" s="41"/>
      <c r="Q25" s="41"/>
      <c r="R25" s="41"/>
      <c r="S25" s="41"/>
      <c r="T25" s="41"/>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41"/>
      <c r="AS25" s="41"/>
      <c r="AT25" s="41"/>
      <c r="AU25" s="41"/>
      <c r="AV25" s="41"/>
      <c r="AW25" s="41"/>
      <c r="AX25" s="41"/>
      <c r="AY25" s="41"/>
      <c r="AZ25" s="41"/>
      <c r="BA25" s="41"/>
      <c r="BB25" s="41"/>
      <c r="BC25" s="41"/>
      <c r="BD25" s="41"/>
      <c r="BE25" s="41"/>
      <c r="BF25" s="41"/>
      <c r="BG25" s="41"/>
      <c r="BH25" s="41"/>
      <c r="BI25" s="41"/>
      <c r="BJ25" s="41"/>
      <c r="BK25" s="41"/>
      <c r="BL25" s="41"/>
      <c r="BM25" s="41"/>
      <c r="BN25" s="41"/>
    </row>
    <row r="26" ht="12.75" customHeight="1">
      <c r="A26" s="41"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26" s="52" t="s">
        <v>19</v>
      </c>
      <c r="C26" s="51"/>
      <c r="D26" s="44"/>
      <c r="E26" s="45"/>
      <c r="F26" s="46" t="str">
        <f t="shared" si="3"/>
        <v> - </v>
      </c>
      <c r="G26" s="63">
        <v>6.0</v>
      </c>
      <c r="H26" s="53">
        <v>0.0</v>
      </c>
      <c r="I26" s="49" t="str">
        <f t="shared" si="4"/>
        <v> - </v>
      </c>
      <c r="J26" s="50"/>
      <c r="K26" s="41"/>
      <c r="L26" s="41"/>
      <c r="M26" s="41"/>
      <c r="N26" s="41"/>
      <c r="O26" s="41"/>
      <c r="P26" s="41"/>
      <c r="Q26" s="41"/>
      <c r="R26" s="41"/>
      <c r="S26" s="41"/>
      <c r="T26" s="41"/>
      <c r="U26" s="41"/>
      <c r="V26" s="41"/>
      <c r="W26" s="41"/>
      <c r="X26" s="41"/>
      <c r="Y26" s="41"/>
      <c r="Z26" s="41"/>
      <c r="AA26" s="41"/>
      <c r="AB26" s="41"/>
      <c r="AC26" s="41"/>
      <c r="AD26" s="41"/>
      <c r="AE26" s="41"/>
      <c r="AF26" s="41"/>
      <c r="AG26" s="41"/>
      <c r="AH26" s="41"/>
      <c r="AI26" s="41"/>
      <c r="AJ26" s="41"/>
      <c r="AK26" s="41"/>
      <c r="AL26" s="41"/>
      <c r="AM26" s="41"/>
      <c r="AN26" s="41"/>
      <c r="AO26" s="41"/>
      <c r="AP26" s="41"/>
      <c r="AQ26" s="41"/>
      <c r="AR26" s="41"/>
      <c r="AS26" s="41"/>
      <c r="AT26" s="41"/>
      <c r="AU26" s="41"/>
      <c r="AV26" s="41"/>
      <c r="AW26" s="41"/>
      <c r="AX26" s="41"/>
      <c r="AY26" s="41"/>
      <c r="AZ26" s="41"/>
      <c r="BA26" s="41"/>
      <c r="BB26" s="41"/>
      <c r="BC26" s="41"/>
      <c r="BD26" s="41"/>
      <c r="BE26" s="41"/>
      <c r="BF26" s="41"/>
      <c r="BG26" s="41"/>
      <c r="BH26" s="41"/>
      <c r="BI26" s="41"/>
      <c r="BJ26" s="41"/>
      <c r="BK26" s="41"/>
      <c r="BL26" s="41"/>
      <c r="BM26" s="41"/>
      <c r="BN26" s="41"/>
    </row>
    <row r="27" ht="12.75" customHeight="1">
      <c r="A27" s="41"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27" s="52" t="s">
        <v>19</v>
      </c>
      <c r="C27" s="51"/>
      <c r="D27" s="44"/>
      <c r="E27" s="45"/>
      <c r="F27" s="46" t="str">
        <f t="shared" si="3"/>
        <v> - </v>
      </c>
      <c r="G27" s="63">
        <v>3.0</v>
      </c>
      <c r="H27" s="53">
        <v>0.0</v>
      </c>
      <c r="I27" s="49" t="str">
        <f t="shared" si="4"/>
        <v> - </v>
      </c>
      <c r="J27" s="50"/>
      <c r="K27" s="41"/>
      <c r="L27" s="41"/>
      <c r="M27" s="41"/>
      <c r="N27" s="41"/>
      <c r="O27" s="41"/>
      <c r="P27" s="41"/>
      <c r="Q27" s="41"/>
      <c r="R27" s="41"/>
      <c r="S27" s="41"/>
      <c r="T27" s="41"/>
      <c r="U27" s="41"/>
      <c r="V27" s="41"/>
      <c r="W27" s="41"/>
      <c r="X27" s="41"/>
      <c r="Y27" s="41"/>
      <c r="Z27" s="41"/>
      <c r="AA27" s="41"/>
      <c r="AB27" s="41"/>
      <c r="AC27" s="41"/>
      <c r="AD27" s="41"/>
      <c r="AE27" s="41"/>
      <c r="AF27" s="41"/>
      <c r="AG27" s="41"/>
      <c r="AH27" s="41"/>
      <c r="AI27" s="41"/>
      <c r="AJ27" s="41"/>
      <c r="AK27" s="41"/>
      <c r="AL27" s="41"/>
      <c r="AM27" s="41"/>
      <c r="AN27" s="41"/>
      <c r="AO27" s="41"/>
      <c r="AP27" s="41"/>
      <c r="AQ27" s="41"/>
      <c r="AR27" s="41"/>
      <c r="AS27" s="41"/>
      <c r="AT27" s="41"/>
      <c r="AU27" s="41"/>
      <c r="AV27" s="41"/>
      <c r="AW27" s="41"/>
      <c r="AX27" s="41"/>
      <c r="AY27" s="41"/>
      <c r="AZ27" s="41"/>
      <c r="BA27" s="41"/>
      <c r="BB27" s="41"/>
      <c r="BC27" s="41"/>
      <c r="BD27" s="41"/>
      <c r="BE27" s="41"/>
      <c r="BF27" s="41"/>
      <c r="BG27" s="41"/>
      <c r="BH27" s="41"/>
      <c r="BI27" s="41"/>
      <c r="BJ27" s="41"/>
      <c r="BK27" s="41"/>
      <c r="BL27" s="41"/>
      <c r="BM27" s="41"/>
      <c r="BN27" s="41"/>
    </row>
    <row r="28" ht="12.75" customHeight="1">
      <c r="A28" s="54" t="str">
        <f>IF(ISERROR(VALUE(SUBSTITUTE(GanttChart!prevWBS,".",""))),"1",IF(ISERROR(FIND("`",SUBSTITUTE(GanttChart!prevWBS,".","`",1))),TEXT(VALUE(GanttChart!prevWBS)+1,"#"),TEXT(VALUE(LEFT(GanttChart!prevWBS,FIND("`",SUBSTITUTE(GanttChart!prevWBS,".","`",1))-1))+1,"#")))</f>
        <v>1</v>
      </c>
      <c r="B28" s="55" t="s">
        <v>28</v>
      </c>
      <c r="C28" s="56"/>
      <c r="D28" s="57"/>
      <c r="E28" s="58"/>
      <c r="F28" s="58" t="str">
        <f t="shared" si="3"/>
        <v> - </v>
      </c>
      <c r="G28" s="59"/>
      <c r="H28" s="60"/>
      <c r="I28" s="59" t="str">
        <f t="shared" si="4"/>
        <v> - </v>
      </c>
      <c r="J28" s="61"/>
      <c r="K28" s="62"/>
      <c r="L28" s="62"/>
      <c r="M28" s="62"/>
      <c r="N28" s="62"/>
      <c r="O28" s="62"/>
      <c r="P28" s="62"/>
      <c r="Q28" s="62"/>
      <c r="R28" s="62"/>
      <c r="S28" s="62"/>
      <c r="T28" s="62"/>
      <c r="U28" s="62"/>
      <c r="V28" s="62"/>
      <c r="W28" s="62"/>
      <c r="X28" s="62"/>
      <c r="Y28" s="62"/>
      <c r="Z28" s="62"/>
      <c r="AA28" s="62"/>
      <c r="AB28" s="62"/>
      <c r="AC28" s="62"/>
      <c r="AD28" s="62"/>
      <c r="AE28" s="62"/>
      <c r="AF28" s="62"/>
      <c r="AG28" s="62"/>
      <c r="AH28" s="62"/>
      <c r="AI28" s="62"/>
      <c r="AJ28" s="62"/>
      <c r="AK28" s="62"/>
      <c r="AL28" s="62"/>
      <c r="AM28" s="62"/>
      <c r="AN28" s="62"/>
      <c r="AO28" s="62"/>
      <c r="AP28" s="62"/>
      <c r="AQ28" s="62"/>
      <c r="AR28" s="62"/>
      <c r="AS28" s="62"/>
      <c r="AT28" s="62"/>
      <c r="AU28" s="62"/>
      <c r="AV28" s="62"/>
      <c r="AW28" s="62"/>
      <c r="AX28" s="62"/>
      <c r="AY28" s="62"/>
      <c r="AZ28" s="62"/>
      <c r="BA28" s="62"/>
      <c r="BB28" s="62"/>
      <c r="BC28" s="62"/>
      <c r="BD28" s="62"/>
      <c r="BE28" s="62"/>
      <c r="BF28" s="62"/>
      <c r="BG28" s="62"/>
      <c r="BH28" s="62"/>
      <c r="BI28" s="62"/>
      <c r="BJ28" s="62"/>
      <c r="BK28" s="62"/>
      <c r="BL28" s="62"/>
      <c r="BM28" s="62"/>
      <c r="BN28" s="62"/>
    </row>
    <row r="29" ht="12.75" customHeight="1">
      <c r="A29" s="41"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29" s="42" t="s">
        <v>29</v>
      </c>
      <c r="C29" s="51"/>
      <c r="D29" s="44"/>
      <c r="E29" s="45">
        <v>46153.0</v>
      </c>
      <c r="F29" s="46">
        <f t="shared" si="3"/>
        <v>46159</v>
      </c>
      <c r="G29" s="47">
        <v>7.0</v>
      </c>
      <c r="H29" s="53">
        <v>0.0</v>
      </c>
      <c r="I29" s="49">
        <f t="shared" si="4"/>
        <v>5</v>
      </c>
      <c r="J29" s="50"/>
      <c r="K29" s="41"/>
      <c r="L29" s="41"/>
      <c r="M29" s="41"/>
      <c r="N29" s="41"/>
      <c r="O29" s="41"/>
      <c r="P29" s="41"/>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c r="AR29" s="41"/>
      <c r="AS29" s="41"/>
      <c r="AT29" s="41"/>
      <c r="AU29" s="41"/>
      <c r="AV29" s="41"/>
      <c r="AW29" s="41"/>
      <c r="AX29" s="41"/>
      <c r="AY29" s="41"/>
      <c r="AZ29" s="41"/>
      <c r="BA29" s="41"/>
      <c r="BB29" s="41"/>
      <c r="BC29" s="41"/>
      <c r="BD29" s="41"/>
      <c r="BE29" s="41"/>
      <c r="BF29" s="41"/>
      <c r="BG29" s="41"/>
      <c r="BH29" s="41"/>
      <c r="BI29" s="41"/>
      <c r="BJ29" s="41"/>
      <c r="BK29" s="41"/>
      <c r="BL29" s="41"/>
      <c r="BM29" s="41"/>
      <c r="BN29" s="41"/>
    </row>
    <row r="30" ht="12.75" customHeight="1">
      <c r="A30" s="41"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30" s="42" t="s">
        <v>30</v>
      </c>
      <c r="C30" s="51"/>
      <c r="D30" s="44"/>
      <c r="E30" s="45">
        <v>46160.0</v>
      </c>
      <c r="F30" s="46">
        <f t="shared" si="3"/>
        <v>46160</v>
      </c>
      <c r="G30" s="63">
        <v>1.0</v>
      </c>
      <c r="H30" s="53">
        <v>0.0</v>
      </c>
      <c r="I30" s="49">
        <f t="shared" si="4"/>
        <v>1</v>
      </c>
      <c r="J30" s="50"/>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41"/>
      <c r="BG30" s="41"/>
      <c r="BH30" s="41"/>
      <c r="BI30" s="41"/>
      <c r="BJ30" s="41"/>
      <c r="BK30" s="41"/>
      <c r="BL30" s="41"/>
      <c r="BM30" s="41"/>
      <c r="BN30" s="41"/>
    </row>
    <row r="31" ht="12.75" customHeight="1">
      <c r="A31" s="41"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31" s="42" t="s">
        <v>31</v>
      </c>
      <c r="C31" s="51"/>
      <c r="D31" s="44"/>
      <c r="E31" s="45">
        <v>46161.0</v>
      </c>
      <c r="F31" s="46">
        <f t="shared" si="3"/>
        <v>46162</v>
      </c>
      <c r="G31" s="47">
        <v>2.0</v>
      </c>
      <c r="H31" s="53">
        <v>0.0</v>
      </c>
      <c r="I31" s="49">
        <f t="shared" si="4"/>
        <v>2</v>
      </c>
      <c r="J31" s="50"/>
      <c r="K31" s="41"/>
      <c r="L31" s="41"/>
      <c r="M31" s="41"/>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c r="AS31" s="41"/>
      <c r="AT31" s="41"/>
      <c r="AU31" s="41"/>
      <c r="AV31" s="41"/>
      <c r="AW31" s="41"/>
      <c r="AX31" s="41"/>
      <c r="AY31" s="41"/>
      <c r="AZ31" s="41"/>
      <c r="BA31" s="41"/>
      <c r="BB31" s="41"/>
      <c r="BC31" s="41"/>
      <c r="BD31" s="41"/>
      <c r="BE31" s="41"/>
      <c r="BF31" s="41"/>
      <c r="BG31" s="41"/>
      <c r="BH31" s="41"/>
      <c r="BI31" s="41"/>
      <c r="BJ31" s="41"/>
      <c r="BK31" s="41"/>
      <c r="BL31" s="41"/>
      <c r="BM31" s="41"/>
      <c r="BN31" s="41"/>
    </row>
    <row r="32" ht="12.75" customHeight="1">
      <c r="A32" s="41"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32" s="42" t="s">
        <v>32</v>
      </c>
      <c r="C32" s="51"/>
      <c r="D32" s="44"/>
      <c r="E32" s="45">
        <v>46163.0</v>
      </c>
      <c r="F32" s="46">
        <f t="shared" si="3"/>
        <v>46167</v>
      </c>
      <c r="G32" s="47">
        <v>5.0</v>
      </c>
      <c r="H32" s="53">
        <v>0.0</v>
      </c>
      <c r="I32" s="49">
        <f t="shared" si="4"/>
        <v>3</v>
      </c>
      <c r="J32" s="50"/>
      <c r="K32" s="41"/>
      <c r="L32" s="41"/>
      <c r="M32" s="41"/>
      <c r="N32" s="41"/>
      <c r="O32" s="41"/>
      <c r="P32" s="41"/>
      <c r="Q32" s="41"/>
      <c r="R32" s="41"/>
      <c r="S32" s="41"/>
      <c r="T32" s="41"/>
      <c r="U32" s="41"/>
      <c r="V32" s="41"/>
      <c r="W32" s="41"/>
      <c r="X32" s="41"/>
      <c r="Y32" s="41"/>
      <c r="Z32" s="41"/>
      <c r="AA32" s="41"/>
      <c r="AB32" s="41"/>
      <c r="AC32" s="41"/>
      <c r="AD32" s="41"/>
      <c r="AE32" s="41"/>
      <c r="AF32" s="41"/>
      <c r="AG32" s="41"/>
      <c r="AH32" s="41"/>
      <c r="AI32" s="41"/>
      <c r="AJ32" s="41"/>
      <c r="AK32" s="41"/>
      <c r="AL32" s="41"/>
      <c r="AM32" s="41"/>
      <c r="AN32" s="41"/>
      <c r="AO32" s="41"/>
      <c r="AP32" s="41"/>
      <c r="AQ32" s="41"/>
      <c r="AR32" s="41"/>
      <c r="AS32" s="41"/>
      <c r="AT32" s="41"/>
      <c r="AU32" s="41"/>
      <c r="AV32" s="41"/>
      <c r="AW32" s="41"/>
      <c r="AX32" s="41"/>
      <c r="AY32" s="41"/>
      <c r="AZ32" s="41"/>
      <c r="BA32" s="41"/>
      <c r="BB32" s="41"/>
      <c r="BC32" s="41"/>
      <c r="BD32" s="41"/>
      <c r="BE32" s="41"/>
      <c r="BF32" s="41"/>
      <c r="BG32" s="41"/>
      <c r="BH32" s="41"/>
      <c r="BI32" s="41"/>
      <c r="BJ32" s="41"/>
      <c r="BK32" s="41"/>
      <c r="BL32" s="41"/>
      <c r="BM32" s="41"/>
      <c r="BN32" s="41"/>
    </row>
    <row r="33" ht="12.75" customHeight="1">
      <c r="A33" s="41"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33" s="52" t="s">
        <v>19</v>
      </c>
      <c r="C33" s="51"/>
      <c r="D33" s="44"/>
      <c r="E33" s="45"/>
      <c r="F33" s="46" t="str">
        <f t="shared" si="3"/>
        <v> - </v>
      </c>
      <c r="G33" s="63">
        <v>1.0</v>
      </c>
      <c r="H33" s="53">
        <v>0.0</v>
      </c>
      <c r="I33" s="49" t="str">
        <f t="shared" si="4"/>
        <v> - </v>
      </c>
      <c r="J33" s="50"/>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c r="AN33" s="41"/>
      <c r="AO33" s="41"/>
      <c r="AP33" s="41"/>
      <c r="AQ33" s="41"/>
      <c r="AR33" s="41"/>
      <c r="AS33" s="41"/>
      <c r="AT33" s="41"/>
      <c r="AU33" s="41"/>
      <c r="AV33" s="41"/>
      <c r="AW33" s="41"/>
      <c r="AX33" s="41"/>
      <c r="AY33" s="41"/>
      <c r="AZ33" s="41"/>
      <c r="BA33" s="41"/>
      <c r="BB33" s="41"/>
      <c r="BC33" s="41"/>
      <c r="BD33" s="41"/>
      <c r="BE33" s="41"/>
      <c r="BF33" s="41"/>
      <c r="BG33" s="41"/>
      <c r="BH33" s="41"/>
      <c r="BI33" s="41"/>
      <c r="BJ33" s="41"/>
      <c r="BK33" s="41"/>
      <c r="BL33" s="41"/>
      <c r="BM33" s="41"/>
      <c r="BN33" s="41"/>
    </row>
    <row r="34" ht="12.75" customHeight="1">
      <c r="A34" s="41"/>
      <c r="B34" s="64"/>
      <c r="C34" s="64"/>
      <c r="D34" s="65"/>
      <c r="E34" s="66"/>
      <c r="F34" s="66"/>
      <c r="G34" s="67"/>
      <c r="H34" s="68"/>
      <c r="I34" s="67" t="str">
        <f t="shared" si="4"/>
        <v> - </v>
      </c>
      <c r="J34" s="69"/>
      <c r="K34" s="41"/>
      <c r="L34" s="41"/>
      <c r="M34" s="4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c r="BI34" s="41"/>
      <c r="BJ34" s="41"/>
      <c r="BK34" s="41"/>
      <c r="BL34" s="41"/>
      <c r="BM34" s="41"/>
      <c r="BN34" s="41"/>
    </row>
    <row r="35" ht="12.75" customHeight="1">
      <c r="A35" s="41"/>
      <c r="B35" s="64"/>
      <c r="C35" s="64"/>
      <c r="D35" s="65"/>
      <c r="E35" s="66"/>
      <c r="F35" s="66"/>
      <c r="G35" s="67"/>
      <c r="H35" s="68"/>
      <c r="I35" s="67" t="str">
        <f t="shared" si="4"/>
        <v> - </v>
      </c>
      <c r="J35" s="69"/>
      <c r="K35" s="41"/>
      <c r="L35" s="41"/>
      <c r="M35" s="4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c r="BE35" s="41"/>
      <c r="BF35" s="41"/>
      <c r="BG35" s="41"/>
      <c r="BH35" s="41"/>
      <c r="BI35" s="41"/>
      <c r="BJ35" s="41"/>
      <c r="BK35" s="41"/>
      <c r="BL35" s="41"/>
      <c r="BM35" s="41"/>
      <c r="BN35" s="41"/>
    </row>
    <row r="36" ht="12.75" customHeight="1">
      <c r="A36" s="70" t="s">
        <v>33</v>
      </c>
      <c r="B36" s="71"/>
      <c r="C36" s="72"/>
      <c r="D36" s="72"/>
      <c r="E36" s="73"/>
      <c r="F36" s="73"/>
      <c r="G36" s="74"/>
      <c r="H36" s="74"/>
      <c r="I36" s="74"/>
      <c r="J36" s="75"/>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1"/>
      <c r="BJ36" s="41"/>
      <c r="BK36" s="41"/>
      <c r="BL36" s="41"/>
      <c r="BM36" s="41"/>
      <c r="BN36" s="41"/>
    </row>
    <row r="37" ht="12.75" customHeight="1">
      <c r="A37" s="76" t="s">
        <v>34</v>
      </c>
      <c r="B37" s="77"/>
      <c r="C37" s="77"/>
      <c r="D37" s="77"/>
      <c r="E37" s="78"/>
      <c r="F37" s="78"/>
      <c r="G37" s="77"/>
      <c r="H37" s="77"/>
      <c r="I37" s="77"/>
      <c r="J37" s="75"/>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1"/>
      <c r="BJ37" s="41"/>
      <c r="BK37" s="41"/>
      <c r="BL37" s="41"/>
      <c r="BM37" s="41"/>
      <c r="BN37" s="41"/>
    </row>
    <row r="38" ht="12.75" customHeight="1">
      <c r="A38" s="79" t="str">
        <f>IF(ISERROR(VALUE(SUBSTITUTE(GanttChart!prevWBS,".",""))),"1",IF(ISERROR(FIND("`",SUBSTITUTE(GanttChart!prevWBS,".","`",1))),TEXT(VALUE(GanttChart!prevWBS)+1,"#"),TEXT(VALUE(LEFT(GanttChart!prevWBS,FIND("`",SUBSTITUTE(GanttChart!prevWBS,".","`",1))-1))+1,"#")))</f>
        <v>1</v>
      </c>
      <c r="B38" s="80" t="s">
        <v>35</v>
      </c>
      <c r="C38" s="81"/>
      <c r="D38" s="44"/>
      <c r="E38" s="82"/>
      <c r="F38" s="46" t="str">
        <f t="shared" ref="F38:F41" si="5">IF(ISBLANK(E38)," - ",IF(G38=0,E38,E38+G38-1))</f>
        <v> - </v>
      </c>
      <c r="G38" s="63"/>
      <c r="H38" s="53"/>
      <c r="I38" s="49" t="str">
        <f t="shared" ref="I38:I41" si="6">IF(OR(F38=0,E38=0)," - ",NETWORKDAYS(E38,F38))</f>
        <v> - </v>
      </c>
      <c r="J38" s="50"/>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1"/>
      <c r="BJ38" s="41"/>
      <c r="BK38" s="41"/>
      <c r="BL38" s="41"/>
      <c r="BM38" s="41"/>
      <c r="BN38" s="41"/>
    </row>
    <row r="39" ht="12.75" customHeight="1">
      <c r="A39" s="41" t="str">
        <f>IF(ISERROR(VALUE(SUBSTITUTE(GanttChart!prevWBS,".",""))),"0.1",IF(ISERROR(FIND("`",SUBSTITUTE(GanttChart!prevWBS,".","`",1))),GanttChart!prevWBS&amp;".1",LEFT(GanttChart!prevWBS,FIND("`",SUBSTITUTE(GanttChart!prevWBS,".","`",1)))&amp;IF(ISERROR(FIND("`",SUBSTITUTE(GanttChart!prevWBS,".","`",2))),VALUE(RIGHT(GanttChart!prevWBS,LEN(GanttChart!prevWBS)-FIND("`",SUBSTITUTE(GanttChart!prevWBS,".","`",1))))+1,VALUE(MID(GanttChart!prevWBS,FIND("`",SUBSTITUTE(GanttChart!prevWBS,".","`",1))+1,(FIND("`",SUBSTITUTE(GanttChart!prevWBS,".","`",2))-FIND("`",SUBSTITUTE(GanttChart!prevWBS,".","`",1))-1)))+1)))</f>
        <v>.1</v>
      </c>
      <c r="B39" s="83" t="s">
        <v>36</v>
      </c>
      <c r="C39" s="83"/>
      <c r="D39" s="44"/>
      <c r="E39" s="82"/>
      <c r="F39" s="46" t="str">
        <f t="shared" si="5"/>
        <v> - </v>
      </c>
      <c r="G39" s="63"/>
      <c r="H39" s="53"/>
      <c r="I39" s="49" t="str">
        <f t="shared" si="6"/>
        <v> - </v>
      </c>
      <c r="J39" s="50"/>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1"/>
      <c r="BJ39" s="41"/>
      <c r="BK39" s="41"/>
      <c r="BL39" s="41"/>
      <c r="BM39" s="41"/>
      <c r="BN39" s="41"/>
    </row>
    <row r="40" ht="12.75" customHeight="1">
      <c r="A40" s="41" t="str">
        <f>IF(ISERROR(VALUE(SUBSTITUTE(GanttChart!prevWBS,".",""))),"0.0.1",IF(ISERROR(FIND("`",SUBSTITUTE(GanttChart!prevWBS,".","`",2))),GanttChart!prevWBS&amp;".1",LEFT(GanttChart!prevWBS,FIND("`",SUBSTITUTE(GanttChart!prevWBS,".","`",2)))&amp;IF(ISERROR(FIND("`",SUBSTITUTE(GanttChart!prevWBS,".","`",3))),VALUE(RIGHT(GanttChart!prevWBS,LEN(GanttChart!prevWBS)-FIND("`",SUBSTITUTE(GanttChart!prevWBS,".","`",2))))+1,VALUE(MID(GanttChart!prevWBS,FIND("`",SUBSTITUTE(GanttChart!prevWBS,".","`",2))+1,(FIND("`",SUBSTITUTE(GanttChart!prevWBS,".","`",3))-FIND("`",SUBSTITUTE(GanttChart!prevWBS,".","`",2))-1)))+1)))</f>
        <v>.1</v>
      </c>
      <c r="B40" s="84" t="s">
        <v>37</v>
      </c>
      <c r="C40" s="83"/>
      <c r="D40" s="44"/>
      <c r="E40" s="82"/>
      <c r="F40" s="46" t="str">
        <f t="shared" si="5"/>
        <v> - </v>
      </c>
      <c r="G40" s="63"/>
      <c r="H40" s="53"/>
      <c r="I40" s="49" t="str">
        <f t="shared" si="6"/>
        <v> - </v>
      </c>
      <c r="J40" s="50"/>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1"/>
      <c r="BF40" s="41"/>
      <c r="BG40" s="41"/>
      <c r="BH40" s="41"/>
      <c r="BI40" s="41"/>
      <c r="BJ40" s="41"/>
      <c r="BK40" s="41"/>
      <c r="BL40" s="41"/>
      <c r="BM40" s="41"/>
      <c r="BN40" s="41"/>
    </row>
    <row r="41" ht="12.75" customHeight="1">
      <c r="A41" s="41" t="str">
        <f>IF(ISERROR(VALUE(SUBSTITUTE(GanttChart!prevWBS,".",""))),"0.0.0.1",IF(ISERROR(FIND("`",SUBSTITUTE(GanttChart!prevWBS,".","`",3))),GanttChart!prevWBS&amp;".1",LEFT(GanttChart!prevWBS,FIND("`",SUBSTITUTE(GanttChart!prevWBS,".","`",3)))&amp;IF(ISERROR(FIND("`",SUBSTITUTE(GanttChart!prevWBS,".","`",4))),VALUE(RIGHT(GanttChart!prevWBS,LEN(GanttChart!prevWBS)-FIND("`",SUBSTITUTE(GanttChart!prevWBS,".","`",3))))+1,VALUE(MID(GanttChart!prevWBS,FIND("`",SUBSTITUTE(GanttChart!prevWBS,".","`",3))+1,(FIND("`",SUBSTITUTE(GanttChart!prevWBS,".","`",4))-FIND("`",SUBSTITUTE(GanttChart!prevWBS,".","`",3))-1)))+1)))</f>
        <v>.1</v>
      </c>
      <c r="B41" s="84" t="s">
        <v>38</v>
      </c>
      <c r="C41" s="83"/>
      <c r="D41" s="44"/>
      <c r="E41" s="82"/>
      <c r="F41" s="46" t="str">
        <f t="shared" si="5"/>
        <v> - </v>
      </c>
      <c r="G41" s="63"/>
      <c r="H41" s="53"/>
      <c r="I41" s="49" t="str">
        <f t="shared" si="6"/>
        <v> - </v>
      </c>
      <c r="J41" s="50"/>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c r="BE41" s="41"/>
      <c r="BF41" s="41"/>
      <c r="BG41" s="41"/>
      <c r="BH41" s="41"/>
      <c r="BI41" s="41"/>
      <c r="BJ41" s="41"/>
      <c r="BK41" s="41"/>
      <c r="BL41" s="41"/>
      <c r="BM41" s="41"/>
      <c r="BN41" s="41"/>
    </row>
    <row r="42" ht="12.75" customHeight="1">
      <c r="A42" s="85" t="str">
        <f>HYPERLINK("https://vertex42.link/HowToCreateAGanttChart","► Watch How to Create a Gantt Chart in Excel")</f>
        <v>► Watch How to Create a Gantt Chart in Excel</v>
      </c>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row>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sheetData>
  <mergeCells count="19">
    <mergeCell ref="AT4:AZ4"/>
    <mergeCell ref="BA4:BG4"/>
    <mergeCell ref="BH4:BN4"/>
    <mergeCell ref="K4:Q4"/>
    <mergeCell ref="K5:Q5"/>
    <mergeCell ref="R5:X5"/>
    <mergeCell ref="Y5:AE5"/>
    <mergeCell ref="AF5:AL5"/>
    <mergeCell ref="AM5:AS5"/>
    <mergeCell ref="AT5:AZ5"/>
    <mergeCell ref="BA5:BG5"/>
    <mergeCell ref="BH5:BN5"/>
    <mergeCell ref="K1:AE1"/>
    <mergeCell ref="C4:E4"/>
    <mergeCell ref="R4:X4"/>
    <mergeCell ref="Y4:AE4"/>
    <mergeCell ref="AF4:AL4"/>
    <mergeCell ref="AM4:AS4"/>
    <mergeCell ref="C5:E5"/>
  </mergeCells>
  <conditionalFormatting sqref="K6:BN7">
    <cfRule type="expression" dxfId="0" priority="1">
      <formula>K$6=TODAY()</formula>
    </cfRule>
  </conditionalFormatting>
  <conditionalFormatting sqref="K6:BN41">
    <cfRule type="expression" dxfId="1" priority="2">
      <formula>K$6=TODAY()</formula>
    </cfRule>
  </conditionalFormatting>
  <conditionalFormatting sqref="K8:BN41">
    <cfRule type="expression" dxfId="2" priority="3">
      <formula>AND($E8&lt;=K$6,ROUNDDOWN(($F8-$E8+1)*$H8,0)+$E8-1&gt;=K$6)</formula>
    </cfRule>
  </conditionalFormatting>
  <conditionalFormatting sqref="K8:BN41">
    <cfRule type="expression" dxfId="3" priority="4">
      <formula>AND(NOT(ISBLANK($E8)),$E8&lt;=K$6,$F8&gt;=K$6)</formula>
    </cfRule>
  </conditionalFormatting>
  <printOptions/>
  <pageMargins bottom="0.5" footer="0.0" header="0.0" left="0.25" right="0.25" top="0.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5.63"/>
    <col customWidth="1" min="2" max="2" width="37.75"/>
    <col customWidth="1" min="3" max="3" width="55.13"/>
    <col customWidth="1" min="4" max="6" width="8.88"/>
    <col customWidth="1" min="7" max="26" width="8.63"/>
  </cols>
  <sheetData>
    <row r="1" ht="30.0" customHeight="1">
      <c r="A1" s="86" t="s">
        <v>39</v>
      </c>
      <c r="C1" s="87"/>
    </row>
    <row r="2" ht="12.75" customHeight="1"/>
    <row r="3" ht="12.75" customHeight="1"/>
    <row r="4" ht="12.75" customHeight="1">
      <c r="C4" s="88" t="s">
        <v>40</v>
      </c>
    </row>
    <row r="5" ht="12.75" customHeight="1">
      <c r="C5" s="11" t="s">
        <v>41</v>
      </c>
    </row>
    <row r="6" ht="12.75" customHeight="1">
      <c r="C6" s="11"/>
    </row>
    <row r="7" ht="12.75" customHeight="1">
      <c r="C7" s="89" t="s">
        <v>42</v>
      </c>
    </row>
    <row r="8" ht="12.75" customHeight="1">
      <c r="C8" s="90" t="s">
        <v>43</v>
      </c>
    </row>
    <row r="9" ht="12.75" customHeight="1"/>
    <row r="10" ht="12.75" customHeight="1">
      <c r="C10" s="11" t="s">
        <v>44</v>
      </c>
    </row>
    <row r="11" ht="12.75" customHeight="1">
      <c r="C11" s="11" t="s">
        <v>45</v>
      </c>
    </row>
    <row r="12" ht="12.75" customHeight="1"/>
    <row r="13" ht="12.75" customHeight="1">
      <c r="C13" s="89" t="s">
        <v>46</v>
      </c>
    </row>
    <row r="14" ht="12.75" customHeight="1"/>
    <row r="15" ht="12.75" customHeight="1"/>
    <row r="16" ht="12.75" customHeight="1">
      <c r="A16" s="91" t="s">
        <v>47</v>
      </c>
    </row>
    <row r="17" ht="12.75" customHeight="1"/>
    <row r="18" ht="12.75" customHeight="1">
      <c r="B18" s="92" t="s">
        <v>48</v>
      </c>
    </row>
    <row r="19" ht="12.75" customHeight="1">
      <c r="B19" s="11" t="s">
        <v>49</v>
      </c>
    </row>
    <row r="20" ht="12.75" customHeight="1">
      <c r="B20" s="11" t="s">
        <v>50</v>
      </c>
    </row>
    <row r="21" ht="12.75" customHeight="1"/>
    <row r="22" ht="12.75" customHeight="1">
      <c r="B22" s="92" t="s">
        <v>51</v>
      </c>
    </row>
    <row r="23" ht="12.75" customHeight="1">
      <c r="B23" s="11" t="s">
        <v>52</v>
      </c>
    </row>
    <row r="24" ht="12.75" customHeight="1">
      <c r="B24" s="11" t="s">
        <v>53</v>
      </c>
    </row>
    <row r="25" ht="12.75" customHeight="1"/>
    <row r="26" ht="12.75" customHeight="1">
      <c r="B26" s="92" t="s">
        <v>54</v>
      </c>
    </row>
    <row r="27" ht="12.75" customHeight="1">
      <c r="B27" s="11" t="s">
        <v>55</v>
      </c>
    </row>
    <row r="28" ht="12.75" customHeight="1">
      <c r="B28" s="11" t="s">
        <v>56</v>
      </c>
    </row>
    <row r="29" ht="12.75" customHeight="1">
      <c r="B29" s="11" t="s">
        <v>57</v>
      </c>
    </row>
    <row r="30" ht="12.75" customHeight="1">
      <c r="B30" s="87" t="s">
        <v>58</v>
      </c>
    </row>
    <row r="31" ht="12.75" customHeight="1">
      <c r="B31" s="87" t="s">
        <v>59</v>
      </c>
    </row>
    <row r="32" ht="12.75" customHeight="1">
      <c r="B32" s="87" t="s">
        <v>60</v>
      </c>
    </row>
    <row r="33" ht="12.75" customHeight="1"/>
    <row r="34" ht="12.75" customHeight="1">
      <c r="B34" s="92" t="s">
        <v>61</v>
      </c>
    </row>
    <row r="35" ht="12.75" customHeight="1">
      <c r="B35" s="11" t="s">
        <v>62</v>
      </c>
    </row>
    <row r="36" ht="12.75" customHeight="1">
      <c r="B36" s="11" t="s">
        <v>63</v>
      </c>
    </row>
    <row r="37" ht="12.75" customHeight="1">
      <c r="B37" s="11" t="s">
        <v>64</v>
      </c>
    </row>
    <row r="38" ht="12.75" customHeight="1"/>
    <row r="39" ht="12.75" customHeight="1">
      <c r="B39" s="92" t="s">
        <v>65</v>
      </c>
    </row>
    <row r="40" ht="12.75" customHeight="1">
      <c r="B40" s="11" t="s">
        <v>66</v>
      </c>
    </row>
    <row r="41" ht="12.75" customHeight="1"/>
    <row r="42" ht="12.75" customHeight="1">
      <c r="B42" s="92" t="s">
        <v>67</v>
      </c>
    </row>
    <row r="43" ht="12.75" customHeight="1">
      <c r="B43" s="11" t="s">
        <v>68</v>
      </c>
    </row>
    <row r="44" ht="12.75" customHeight="1">
      <c r="B44" s="11" t="s">
        <v>69</v>
      </c>
    </row>
    <row r="45" ht="12.75" customHeight="1"/>
    <row r="46" ht="12.75" customHeight="1">
      <c r="B46" s="89" t="s">
        <v>70</v>
      </c>
    </row>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r:id="rId1" ref="C7"/>
    <hyperlink r:id="rId2" ref="C13"/>
    <hyperlink r:id="rId3" ref="B46"/>
  </hyperlinks>
  <printOptions/>
  <pageMargins bottom="0.75" footer="0.0" header="0.0" left="0.7" right="0.7" top="0.75"/>
  <pageSetup orientation="portrait"/>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63"/>
    <col customWidth="1" min="2" max="2" width="90.38"/>
    <col customWidth="1" min="3" max="3" width="16.38"/>
    <col customWidth="1" min="4" max="26" width="8.88"/>
  </cols>
  <sheetData>
    <row r="1" ht="30.0" customHeight="1">
      <c r="A1" s="93" t="s">
        <v>71</v>
      </c>
      <c r="B1" s="94"/>
      <c r="C1" s="11"/>
      <c r="D1" s="11"/>
      <c r="E1" s="11"/>
      <c r="F1" s="11"/>
      <c r="G1" s="11"/>
      <c r="H1" s="11"/>
      <c r="I1" s="11"/>
      <c r="J1" s="11"/>
      <c r="K1" s="11"/>
      <c r="L1" s="11"/>
      <c r="M1" s="11"/>
      <c r="N1" s="11"/>
      <c r="O1" s="11"/>
      <c r="P1" s="11"/>
      <c r="Q1" s="11"/>
      <c r="R1" s="11"/>
      <c r="S1" s="11"/>
      <c r="T1" s="11"/>
      <c r="U1" s="11"/>
      <c r="V1" s="11"/>
      <c r="W1" s="11"/>
      <c r="X1" s="11"/>
      <c r="Y1" s="11"/>
      <c r="Z1" s="11"/>
    </row>
    <row r="2" ht="12.75" customHeight="1">
      <c r="A2" s="95" t="s">
        <v>43</v>
      </c>
      <c r="B2" s="96"/>
      <c r="C2" s="11"/>
      <c r="D2" s="11"/>
      <c r="E2" s="11"/>
      <c r="F2" s="11"/>
      <c r="G2" s="11"/>
      <c r="H2" s="11"/>
      <c r="I2" s="11"/>
      <c r="J2" s="11"/>
      <c r="K2" s="11"/>
      <c r="L2" s="11"/>
      <c r="M2" s="11"/>
      <c r="N2" s="11"/>
      <c r="O2" s="11"/>
      <c r="P2" s="11"/>
      <c r="Q2" s="11"/>
      <c r="R2" s="11"/>
      <c r="S2" s="11"/>
      <c r="T2" s="11"/>
      <c r="U2" s="11"/>
      <c r="V2" s="11"/>
      <c r="W2" s="11"/>
      <c r="X2" s="11"/>
      <c r="Y2" s="11"/>
      <c r="Z2" s="11"/>
    </row>
    <row r="3" ht="12.75" customHeight="1">
      <c r="A3" s="11"/>
      <c r="B3" s="96"/>
      <c r="C3" s="11"/>
      <c r="D3" s="11"/>
      <c r="E3" s="11"/>
      <c r="F3" s="11"/>
      <c r="G3" s="11"/>
      <c r="H3" s="11"/>
      <c r="I3" s="11"/>
      <c r="J3" s="11"/>
      <c r="K3" s="11"/>
      <c r="L3" s="11"/>
      <c r="M3" s="11"/>
      <c r="N3" s="11"/>
      <c r="O3" s="11"/>
      <c r="P3" s="11"/>
      <c r="Q3" s="11"/>
      <c r="R3" s="11"/>
      <c r="S3" s="11"/>
      <c r="T3" s="11"/>
      <c r="U3" s="11"/>
      <c r="V3" s="11"/>
      <c r="W3" s="11"/>
      <c r="X3" s="11"/>
      <c r="Y3" s="11"/>
      <c r="Z3" s="11"/>
    </row>
    <row r="4" ht="12.75" customHeight="1">
      <c r="A4" s="97" t="s">
        <v>72</v>
      </c>
      <c r="B4" s="91"/>
      <c r="C4" s="11"/>
      <c r="D4" s="11"/>
      <c r="E4" s="11"/>
      <c r="F4" s="11"/>
      <c r="G4" s="11"/>
      <c r="H4" s="11"/>
      <c r="I4" s="11"/>
      <c r="J4" s="11"/>
      <c r="K4" s="11"/>
      <c r="L4" s="11"/>
      <c r="M4" s="11"/>
      <c r="N4" s="11"/>
      <c r="O4" s="11"/>
      <c r="P4" s="11"/>
      <c r="Q4" s="11"/>
      <c r="R4" s="11"/>
      <c r="S4" s="11"/>
      <c r="T4" s="11"/>
      <c r="U4" s="11"/>
      <c r="V4" s="11"/>
      <c r="W4" s="11"/>
      <c r="X4" s="11"/>
      <c r="Y4" s="11"/>
      <c r="Z4" s="11"/>
    </row>
    <row r="5" ht="12.75" customHeight="1">
      <c r="A5" s="11"/>
      <c r="B5" s="98" t="s">
        <v>73</v>
      </c>
      <c r="C5" s="11"/>
      <c r="D5" s="11"/>
      <c r="E5" s="11"/>
      <c r="F5" s="11"/>
      <c r="G5" s="11"/>
      <c r="H5" s="11"/>
      <c r="I5" s="11"/>
      <c r="J5" s="11"/>
      <c r="K5" s="11"/>
      <c r="L5" s="11"/>
      <c r="M5" s="11"/>
      <c r="N5" s="11"/>
      <c r="O5" s="11"/>
      <c r="P5" s="11"/>
      <c r="Q5" s="11"/>
      <c r="R5" s="11"/>
      <c r="S5" s="11"/>
      <c r="T5" s="11"/>
      <c r="U5" s="11"/>
      <c r="V5" s="11"/>
      <c r="W5" s="11"/>
      <c r="X5" s="11"/>
      <c r="Y5" s="11"/>
      <c r="Z5" s="11"/>
    </row>
    <row r="6" ht="12.75" customHeight="1">
      <c r="A6" s="11"/>
      <c r="B6" s="11"/>
      <c r="C6" s="11"/>
      <c r="D6" s="11"/>
      <c r="E6" s="11"/>
      <c r="F6" s="11"/>
      <c r="G6" s="11"/>
      <c r="H6" s="11"/>
      <c r="I6" s="11"/>
      <c r="J6" s="11"/>
      <c r="K6" s="11"/>
      <c r="L6" s="11"/>
      <c r="M6" s="11"/>
      <c r="N6" s="11"/>
      <c r="O6" s="11"/>
      <c r="P6" s="11"/>
      <c r="Q6" s="11"/>
      <c r="R6" s="11"/>
      <c r="S6" s="11"/>
      <c r="T6" s="11"/>
      <c r="U6" s="11"/>
      <c r="V6" s="11"/>
      <c r="W6" s="11"/>
      <c r="X6" s="11"/>
      <c r="Y6" s="11"/>
      <c r="Z6" s="11"/>
    </row>
    <row r="7" ht="12.75" customHeight="1">
      <c r="A7" s="11"/>
      <c r="B7" s="98" t="s">
        <v>74</v>
      </c>
      <c r="C7" s="11"/>
      <c r="D7" s="11"/>
      <c r="E7" s="11"/>
      <c r="F7" s="11"/>
      <c r="G7" s="11"/>
      <c r="H7" s="11"/>
      <c r="I7" s="11"/>
      <c r="J7" s="11"/>
      <c r="K7" s="11"/>
      <c r="L7" s="11"/>
      <c r="M7" s="11"/>
      <c r="N7" s="11"/>
      <c r="O7" s="11"/>
      <c r="P7" s="11"/>
      <c r="Q7" s="11"/>
      <c r="R7" s="11"/>
      <c r="S7" s="11"/>
      <c r="T7" s="11"/>
      <c r="U7" s="11"/>
      <c r="V7" s="11"/>
      <c r="W7" s="11"/>
      <c r="X7" s="11"/>
      <c r="Y7" s="11"/>
      <c r="Z7" s="11"/>
    </row>
    <row r="8" ht="12.75" customHeight="1">
      <c r="A8" s="11"/>
      <c r="B8" s="11"/>
      <c r="C8" s="11"/>
      <c r="D8" s="11"/>
      <c r="E8" s="11"/>
      <c r="F8" s="11"/>
      <c r="G8" s="11"/>
      <c r="H8" s="11"/>
      <c r="I8" s="11"/>
      <c r="J8" s="11"/>
      <c r="K8" s="11"/>
      <c r="L8" s="11"/>
      <c r="M8" s="11"/>
      <c r="N8" s="11"/>
      <c r="O8" s="11"/>
      <c r="P8" s="11"/>
      <c r="Q8" s="11"/>
      <c r="R8" s="11"/>
      <c r="S8" s="11"/>
      <c r="T8" s="11"/>
      <c r="U8" s="11"/>
      <c r="V8" s="11"/>
      <c r="W8" s="11"/>
      <c r="X8" s="11"/>
      <c r="Y8" s="11"/>
      <c r="Z8" s="11"/>
    </row>
    <row r="9" ht="12.75" customHeight="1">
      <c r="A9" s="11"/>
      <c r="B9" s="95" t="s">
        <v>75</v>
      </c>
      <c r="C9" s="11"/>
      <c r="D9" s="11"/>
      <c r="E9" s="11"/>
      <c r="F9" s="11"/>
      <c r="G9" s="11"/>
      <c r="H9" s="11"/>
      <c r="I9" s="11"/>
      <c r="J9" s="11"/>
      <c r="K9" s="11"/>
      <c r="L9" s="11"/>
      <c r="M9" s="11"/>
      <c r="N9" s="11"/>
      <c r="O9" s="11"/>
      <c r="P9" s="11"/>
      <c r="Q9" s="11"/>
      <c r="R9" s="11"/>
      <c r="S9" s="11"/>
      <c r="T9" s="11"/>
      <c r="U9" s="11"/>
      <c r="V9" s="11"/>
      <c r="W9" s="11"/>
      <c r="X9" s="11"/>
      <c r="Y9" s="11"/>
      <c r="Z9" s="11"/>
    </row>
    <row r="10" ht="12.75" customHeight="1">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ht="12.75" customHeight="1">
      <c r="A11" s="11"/>
      <c r="B11" s="99" t="s">
        <v>76</v>
      </c>
      <c r="C11" s="11"/>
      <c r="D11" s="11"/>
      <c r="E11" s="11"/>
      <c r="F11" s="11"/>
      <c r="G11" s="11"/>
      <c r="H11" s="11"/>
      <c r="I11" s="11"/>
      <c r="J11" s="11"/>
      <c r="K11" s="11"/>
      <c r="L11" s="11"/>
      <c r="M11" s="11"/>
      <c r="N11" s="11"/>
      <c r="O11" s="11"/>
      <c r="P11" s="11"/>
      <c r="Q11" s="11"/>
      <c r="R11" s="11"/>
      <c r="S11" s="11"/>
      <c r="T11" s="11"/>
      <c r="U11" s="11"/>
      <c r="V11" s="11"/>
      <c r="W11" s="11"/>
      <c r="X11" s="11"/>
      <c r="Y11" s="11"/>
      <c r="Z11" s="11"/>
    </row>
    <row r="12" ht="12.75" customHeight="1">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ht="12.75" customHeight="1">
      <c r="A13" s="100" t="s">
        <v>77</v>
      </c>
      <c r="C13" s="11"/>
      <c r="D13" s="11"/>
      <c r="E13" s="11"/>
      <c r="F13" s="11"/>
      <c r="G13" s="11"/>
      <c r="H13" s="11"/>
      <c r="I13" s="11"/>
      <c r="J13" s="11"/>
      <c r="K13" s="11"/>
      <c r="L13" s="11"/>
      <c r="M13" s="11"/>
      <c r="N13" s="11"/>
      <c r="O13" s="11"/>
      <c r="P13" s="11"/>
      <c r="Q13" s="11"/>
      <c r="R13" s="11"/>
      <c r="S13" s="11"/>
      <c r="T13" s="11"/>
      <c r="U13" s="11"/>
      <c r="V13" s="11"/>
      <c r="W13" s="11"/>
      <c r="X13" s="11"/>
      <c r="Y13" s="11"/>
      <c r="Z13" s="11"/>
    </row>
    <row r="14" ht="12.75" customHeight="1">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ht="12.75" customHeight="1">
      <c r="A15" s="101"/>
      <c r="B15" s="102" t="s">
        <v>78</v>
      </c>
      <c r="C15" s="103"/>
      <c r="D15" s="103"/>
      <c r="E15" s="103"/>
      <c r="F15" s="103"/>
      <c r="G15" s="103"/>
      <c r="H15" s="103"/>
      <c r="I15" s="103"/>
      <c r="J15" s="103"/>
      <c r="K15" s="103"/>
      <c r="L15" s="103"/>
      <c r="M15" s="103"/>
      <c r="N15" s="103"/>
      <c r="O15" s="103"/>
      <c r="P15" s="103"/>
      <c r="Q15" s="103"/>
      <c r="R15" s="103"/>
      <c r="S15" s="103"/>
      <c r="T15" s="103"/>
      <c r="U15" s="103"/>
      <c r="V15" s="103"/>
      <c r="W15" s="103"/>
      <c r="X15" s="103"/>
      <c r="Y15" s="103"/>
      <c r="Z15" s="103"/>
    </row>
    <row r="16" ht="12.75" customHeight="1">
      <c r="A16" s="101"/>
      <c r="B16" s="102" t="s">
        <v>79</v>
      </c>
      <c r="C16" s="104" t="s">
        <v>80</v>
      </c>
      <c r="D16" s="103"/>
      <c r="E16" s="103"/>
      <c r="F16" s="103"/>
      <c r="G16" s="103"/>
      <c r="H16" s="103"/>
      <c r="I16" s="103"/>
      <c r="J16" s="103"/>
      <c r="K16" s="103"/>
      <c r="L16" s="103"/>
      <c r="M16" s="103"/>
      <c r="N16" s="103"/>
      <c r="O16" s="103"/>
      <c r="P16" s="103"/>
      <c r="Q16" s="103"/>
      <c r="R16" s="103"/>
      <c r="S16" s="103"/>
      <c r="T16" s="103"/>
      <c r="U16" s="103"/>
      <c r="V16" s="103"/>
      <c r="W16" s="103"/>
      <c r="X16" s="103"/>
      <c r="Y16" s="103"/>
      <c r="Z16" s="103"/>
    </row>
    <row r="17" ht="12.75" customHeight="1">
      <c r="A17" s="105"/>
      <c r="B17" s="102" t="s">
        <v>81</v>
      </c>
      <c r="C17" s="11"/>
      <c r="D17" s="11"/>
      <c r="E17" s="11"/>
      <c r="F17" s="11"/>
      <c r="G17" s="11"/>
      <c r="H17" s="11"/>
      <c r="I17" s="11"/>
      <c r="J17" s="11"/>
      <c r="K17" s="11"/>
      <c r="L17" s="11"/>
      <c r="M17" s="11"/>
      <c r="N17" s="11"/>
      <c r="O17" s="11"/>
      <c r="P17" s="11"/>
      <c r="Q17" s="11"/>
      <c r="R17" s="11"/>
      <c r="S17" s="11"/>
      <c r="T17" s="11"/>
      <c r="U17" s="11"/>
      <c r="V17" s="11"/>
      <c r="W17" s="11"/>
      <c r="X17" s="11"/>
      <c r="Y17" s="11"/>
      <c r="Z17" s="11"/>
    </row>
    <row r="18" ht="12.75" customHeight="1">
      <c r="A18" s="105"/>
      <c r="B18" s="102" t="s">
        <v>82</v>
      </c>
      <c r="C18" s="11"/>
      <c r="D18" s="11"/>
      <c r="E18" s="11"/>
      <c r="F18" s="11"/>
      <c r="G18" s="11"/>
      <c r="H18" s="11"/>
      <c r="I18" s="11"/>
      <c r="J18" s="11"/>
      <c r="K18" s="11"/>
      <c r="L18" s="11"/>
      <c r="M18" s="11"/>
      <c r="N18" s="11"/>
      <c r="O18" s="11"/>
      <c r="P18" s="11"/>
      <c r="Q18" s="11"/>
      <c r="R18" s="11"/>
      <c r="S18" s="11"/>
      <c r="T18" s="11"/>
      <c r="U18" s="11"/>
      <c r="V18" s="11"/>
      <c r="W18" s="11"/>
      <c r="X18" s="11"/>
      <c r="Y18" s="11"/>
      <c r="Z18" s="11"/>
    </row>
    <row r="19" ht="12.75" customHeight="1">
      <c r="A19" s="105"/>
      <c r="B19" s="102" t="s">
        <v>83</v>
      </c>
      <c r="C19" s="11"/>
      <c r="D19" s="11"/>
      <c r="E19" s="11"/>
      <c r="F19" s="11"/>
      <c r="G19" s="11"/>
      <c r="H19" s="11"/>
      <c r="I19" s="11"/>
      <c r="J19" s="11"/>
      <c r="K19" s="11"/>
      <c r="L19" s="11"/>
      <c r="M19" s="11"/>
      <c r="N19" s="11"/>
      <c r="O19" s="11"/>
      <c r="P19" s="11"/>
      <c r="Q19" s="11"/>
      <c r="R19" s="11"/>
      <c r="S19" s="11"/>
      <c r="T19" s="11"/>
      <c r="U19" s="11"/>
      <c r="V19" s="11"/>
      <c r="W19" s="11"/>
      <c r="X19" s="11"/>
      <c r="Y19" s="11"/>
      <c r="Z19" s="11"/>
    </row>
    <row r="20" ht="12.75" customHeight="1">
      <c r="A20" s="101"/>
      <c r="B20" s="102" t="s">
        <v>84</v>
      </c>
      <c r="C20" s="106" t="s">
        <v>85</v>
      </c>
      <c r="D20" s="103"/>
      <c r="E20" s="103"/>
      <c r="F20" s="103"/>
      <c r="G20" s="103"/>
      <c r="H20" s="103"/>
      <c r="I20" s="103"/>
      <c r="J20" s="103"/>
      <c r="K20" s="103"/>
      <c r="L20" s="103"/>
      <c r="M20" s="103"/>
      <c r="N20" s="103"/>
      <c r="O20" s="103"/>
      <c r="P20" s="103"/>
      <c r="Q20" s="103"/>
      <c r="R20" s="103"/>
      <c r="S20" s="103"/>
      <c r="T20" s="103"/>
      <c r="U20" s="103"/>
      <c r="V20" s="103"/>
      <c r="W20" s="103"/>
      <c r="X20" s="103"/>
      <c r="Y20" s="103"/>
      <c r="Z20" s="103"/>
    </row>
    <row r="21" ht="12.75" customHeight="1">
      <c r="A21" s="105"/>
      <c r="B21" s="102" t="s">
        <v>86</v>
      </c>
      <c r="C21" s="11"/>
      <c r="D21" s="11"/>
      <c r="E21" s="11"/>
      <c r="F21" s="11"/>
      <c r="G21" s="11"/>
      <c r="H21" s="11"/>
      <c r="I21" s="11"/>
      <c r="J21" s="11"/>
      <c r="K21" s="11"/>
      <c r="L21" s="11"/>
      <c r="M21" s="11"/>
      <c r="N21" s="11"/>
      <c r="O21" s="11"/>
      <c r="P21" s="11"/>
      <c r="Q21" s="11"/>
      <c r="R21" s="11"/>
      <c r="S21" s="11"/>
      <c r="T21" s="11"/>
      <c r="U21" s="11"/>
      <c r="V21" s="11"/>
      <c r="W21" s="11"/>
      <c r="X21" s="11"/>
      <c r="Y21" s="11"/>
      <c r="Z21" s="11"/>
    </row>
    <row r="22" ht="12.75" customHeight="1">
      <c r="A22" s="105"/>
      <c r="B22" s="107" t="s">
        <v>87</v>
      </c>
      <c r="C22" s="11"/>
      <c r="D22" s="11"/>
      <c r="E22" s="11"/>
      <c r="F22" s="11"/>
      <c r="G22" s="11"/>
      <c r="H22" s="11"/>
      <c r="I22" s="11"/>
      <c r="J22" s="11"/>
      <c r="K22" s="11"/>
      <c r="L22" s="11"/>
      <c r="M22" s="11"/>
      <c r="N22" s="11"/>
      <c r="O22" s="11"/>
      <c r="P22" s="11"/>
      <c r="Q22" s="11"/>
      <c r="R22" s="11"/>
      <c r="S22" s="11"/>
      <c r="T22" s="11"/>
      <c r="U22" s="11"/>
      <c r="V22" s="11"/>
      <c r="W22" s="11"/>
      <c r="X22" s="11"/>
      <c r="Y22" s="11"/>
      <c r="Z22" s="11"/>
    </row>
    <row r="23" ht="12.75" customHeight="1">
      <c r="A23" s="105"/>
      <c r="B23" s="88"/>
      <c r="C23" s="11"/>
      <c r="D23" s="11"/>
      <c r="E23" s="11"/>
      <c r="F23" s="11"/>
      <c r="G23" s="11"/>
      <c r="H23" s="11"/>
      <c r="I23" s="11"/>
      <c r="J23" s="11"/>
      <c r="K23" s="11"/>
      <c r="L23" s="11"/>
      <c r="M23" s="11"/>
      <c r="N23" s="11"/>
      <c r="O23" s="11"/>
      <c r="P23" s="11"/>
      <c r="Q23" s="11"/>
      <c r="R23" s="11"/>
      <c r="S23" s="11"/>
      <c r="T23" s="11"/>
      <c r="U23" s="11"/>
      <c r="V23" s="11"/>
      <c r="W23" s="11"/>
      <c r="X23" s="11"/>
      <c r="Y23" s="11"/>
      <c r="Z23" s="11"/>
    </row>
    <row r="24" ht="12.75" customHeight="1">
      <c r="A24" s="100" t="s">
        <v>88</v>
      </c>
      <c r="C24" s="11"/>
      <c r="D24" s="11"/>
      <c r="E24" s="11"/>
      <c r="F24" s="11"/>
      <c r="G24" s="11"/>
      <c r="H24" s="11"/>
      <c r="I24" s="11"/>
      <c r="J24" s="11"/>
      <c r="K24" s="11"/>
      <c r="L24" s="11"/>
      <c r="M24" s="11"/>
      <c r="N24" s="11"/>
      <c r="O24" s="11"/>
      <c r="P24" s="11"/>
      <c r="Q24" s="11"/>
      <c r="R24" s="11"/>
      <c r="S24" s="11"/>
      <c r="T24" s="11"/>
      <c r="U24" s="11"/>
      <c r="V24" s="11"/>
      <c r="W24" s="11"/>
      <c r="X24" s="11"/>
      <c r="Y24" s="11"/>
      <c r="Z24" s="11"/>
    </row>
    <row r="25" ht="12.75" customHeight="1">
      <c r="A25" s="105"/>
      <c r="B25" s="102" t="s">
        <v>89</v>
      </c>
      <c r="C25" s="11"/>
      <c r="D25" s="11"/>
      <c r="E25" s="11"/>
      <c r="F25" s="11"/>
      <c r="G25" s="11"/>
      <c r="H25" s="11"/>
      <c r="I25" s="11"/>
      <c r="J25" s="11"/>
      <c r="K25" s="11"/>
      <c r="L25" s="11"/>
      <c r="M25" s="11"/>
      <c r="N25" s="11"/>
      <c r="O25" s="11"/>
      <c r="P25" s="11"/>
      <c r="Q25" s="11"/>
      <c r="R25" s="11"/>
      <c r="S25" s="11"/>
      <c r="T25" s="11"/>
      <c r="U25" s="11"/>
      <c r="V25" s="11"/>
      <c r="W25" s="11"/>
      <c r="X25" s="11"/>
      <c r="Y25" s="11"/>
      <c r="Z25" s="11"/>
    </row>
    <row r="26" ht="12.75" customHeight="1">
      <c r="A26" s="105"/>
      <c r="B26" s="102"/>
      <c r="C26" s="11"/>
      <c r="D26" s="11"/>
      <c r="E26" s="11"/>
      <c r="F26" s="11"/>
      <c r="G26" s="11"/>
      <c r="H26" s="11"/>
      <c r="I26" s="11"/>
      <c r="J26" s="11"/>
      <c r="K26" s="11"/>
      <c r="L26" s="11"/>
      <c r="M26" s="11"/>
      <c r="N26" s="11"/>
      <c r="O26" s="11"/>
      <c r="P26" s="11"/>
      <c r="Q26" s="11"/>
      <c r="R26" s="11"/>
      <c r="S26" s="11"/>
      <c r="T26" s="11"/>
      <c r="U26" s="11"/>
      <c r="V26" s="11"/>
      <c r="W26" s="11"/>
      <c r="X26" s="11"/>
      <c r="Y26" s="11"/>
      <c r="Z26" s="11"/>
    </row>
    <row r="27" ht="12.75" customHeight="1">
      <c r="A27" s="105"/>
      <c r="B27" s="108" t="s">
        <v>90</v>
      </c>
      <c r="C27" s="11"/>
      <c r="D27" s="11"/>
      <c r="E27" s="11"/>
      <c r="F27" s="11"/>
      <c r="G27" s="11"/>
      <c r="H27" s="11"/>
      <c r="I27" s="11"/>
      <c r="J27" s="11"/>
      <c r="K27" s="11"/>
      <c r="L27" s="11"/>
      <c r="M27" s="11"/>
      <c r="N27" s="11"/>
      <c r="O27" s="11"/>
      <c r="P27" s="11"/>
      <c r="Q27" s="11"/>
      <c r="R27" s="11"/>
      <c r="S27" s="11"/>
      <c r="T27" s="11"/>
      <c r="U27" s="11"/>
      <c r="V27" s="11"/>
      <c r="W27" s="11"/>
      <c r="X27" s="11"/>
      <c r="Y27" s="11"/>
      <c r="Z27" s="11"/>
    </row>
    <row r="28" ht="12.75" customHeight="1">
      <c r="A28" s="105"/>
      <c r="B28" s="102" t="s">
        <v>91</v>
      </c>
      <c r="C28" s="11"/>
      <c r="D28" s="11"/>
      <c r="E28" s="11"/>
      <c r="F28" s="11"/>
      <c r="G28" s="11"/>
      <c r="H28" s="11"/>
      <c r="I28" s="11"/>
      <c r="J28" s="11"/>
      <c r="K28" s="11"/>
      <c r="L28" s="11"/>
      <c r="M28" s="11"/>
      <c r="N28" s="11"/>
      <c r="O28" s="11"/>
      <c r="P28" s="11"/>
      <c r="Q28" s="11"/>
      <c r="R28" s="11"/>
      <c r="S28" s="11"/>
      <c r="T28" s="11"/>
      <c r="U28" s="11"/>
      <c r="V28" s="11"/>
      <c r="W28" s="11"/>
      <c r="X28" s="11"/>
      <c r="Y28" s="11"/>
      <c r="Z28" s="11"/>
    </row>
    <row r="29" ht="12.75" customHeight="1">
      <c r="A29" s="105"/>
      <c r="B29" s="102" t="s">
        <v>92</v>
      </c>
      <c r="C29" s="11"/>
      <c r="D29" s="11"/>
      <c r="E29" s="11"/>
      <c r="F29" s="11"/>
      <c r="G29" s="11"/>
      <c r="H29" s="11"/>
      <c r="I29" s="11"/>
      <c r="J29" s="11"/>
      <c r="K29" s="11"/>
      <c r="L29" s="11"/>
      <c r="M29" s="11"/>
      <c r="N29" s="11"/>
      <c r="O29" s="11"/>
      <c r="P29" s="11"/>
      <c r="Q29" s="11"/>
      <c r="R29" s="11"/>
      <c r="S29" s="11"/>
      <c r="T29" s="11"/>
      <c r="U29" s="11"/>
      <c r="V29" s="11"/>
      <c r="W29" s="11"/>
      <c r="X29" s="11"/>
      <c r="Y29" s="11"/>
      <c r="Z29" s="11"/>
    </row>
    <row r="30" ht="12.75" customHeight="1">
      <c r="A30" s="105"/>
      <c r="B30" s="102"/>
      <c r="C30" s="11"/>
      <c r="D30" s="11"/>
      <c r="E30" s="11"/>
      <c r="F30" s="11"/>
      <c r="G30" s="11"/>
      <c r="H30" s="11"/>
      <c r="I30" s="11"/>
      <c r="J30" s="11"/>
      <c r="K30" s="11"/>
      <c r="L30" s="11"/>
      <c r="M30" s="11"/>
      <c r="N30" s="11"/>
      <c r="O30" s="11"/>
      <c r="P30" s="11"/>
      <c r="Q30" s="11"/>
      <c r="R30" s="11"/>
      <c r="S30" s="11"/>
      <c r="T30" s="11"/>
      <c r="U30" s="11"/>
      <c r="V30" s="11"/>
      <c r="W30" s="11"/>
      <c r="X30" s="11"/>
      <c r="Y30" s="11"/>
      <c r="Z30" s="11"/>
    </row>
    <row r="31" ht="12.75" customHeight="1">
      <c r="A31" s="105"/>
      <c r="B31" s="108" t="s">
        <v>93</v>
      </c>
      <c r="C31" s="11"/>
      <c r="D31" s="11"/>
      <c r="E31" s="11"/>
      <c r="F31" s="11"/>
      <c r="G31" s="11"/>
      <c r="H31" s="11"/>
      <c r="I31" s="11"/>
      <c r="J31" s="11"/>
      <c r="K31" s="11"/>
      <c r="L31" s="11"/>
      <c r="M31" s="11"/>
      <c r="N31" s="11"/>
      <c r="O31" s="11"/>
      <c r="P31" s="11"/>
      <c r="Q31" s="11"/>
      <c r="R31" s="11"/>
      <c r="S31" s="11"/>
      <c r="T31" s="11"/>
      <c r="U31" s="11"/>
      <c r="V31" s="11"/>
      <c r="W31" s="11"/>
      <c r="X31" s="11"/>
      <c r="Y31" s="11"/>
      <c r="Z31" s="11"/>
    </row>
    <row r="32" ht="12.75" customHeight="1">
      <c r="A32" s="105"/>
      <c r="B32" s="102" t="s">
        <v>94</v>
      </c>
      <c r="C32" s="11"/>
      <c r="D32" s="11"/>
      <c r="E32" s="11"/>
      <c r="F32" s="11"/>
      <c r="G32" s="11"/>
      <c r="H32" s="11"/>
      <c r="I32" s="11"/>
      <c r="J32" s="11"/>
      <c r="K32" s="11"/>
      <c r="L32" s="11"/>
      <c r="M32" s="11"/>
      <c r="N32" s="11"/>
      <c r="O32" s="11"/>
      <c r="P32" s="11"/>
      <c r="Q32" s="11"/>
      <c r="R32" s="11"/>
      <c r="S32" s="11"/>
      <c r="T32" s="11"/>
      <c r="U32" s="11"/>
      <c r="V32" s="11"/>
      <c r="W32" s="11"/>
      <c r="X32" s="11"/>
      <c r="Y32" s="11"/>
      <c r="Z32" s="11"/>
    </row>
    <row r="33" ht="12.75" customHeight="1">
      <c r="A33" s="105"/>
      <c r="B33" s="102" t="s">
        <v>95</v>
      </c>
      <c r="C33" s="11"/>
      <c r="D33" s="11"/>
      <c r="E33" s="11"/>
      <c r="F33" s="11"/>
      <c r="G33" s="11"/>
      <c r="H33" s="11"/>
      <c r="I33" s="11"/>
      <c r="J33" s="11"/>
      <c r="K33" s="11"/>
      <c r="L33" s="11"/>
      <c r="M33" s="11"/>
      <c r="N33" s="11"/>
      <c r="O33" s="11"/>
      <c r="P33" s="11"/>
      <c r="Q33" s="11"/>
      <c r="R33" s="11"/>
      <c r="S33" s="11"/>
      <c r="T33" s="11"/>
      <c r="U33" s="11"/>
      <c r="V33" s="11"/>
      <c r="W33" s="11"/>
      <c r="X33" s="11"/>
      <c r="Y33" s="11"/>
      <c r="Z33" s="11"/>
    </row>
    <row r="34" ht="12.75" customHeight="1">
      <c r="A34" s="105"/>
      <c r="B34" s="88"/>
      <c r="C34" s="11"/>
      <c r="D34" s="11"/>
      <c r="E34" s="11"/>
      <c r="F34" s="11"/>
      <c r="G34" s="11"/>
      <c r="H34" s="11"/>
      <c r="I34" s="11"/>
      <c r="J34" s="11"/>
      <c r="K34" s="11"/>
      <c r="L34" s="11"/>
      <c r="M34" s="11"/>
      <c r="N34" s="11"/>
      <c r="O34" s="11"/>
      <c r="P34" s="11"/>
      <c r="Q34" s="11"/>
      <c r="R34" s="11"/>
      <c r="S34" s="11"/>
      <c r="T34" s="11"/>
      <c r="U34" s="11"/>
      <c r="V34" s="11"/>
      <c r="W34" s="11"/>
      <c r="X34" s="11"/>
      <c r="Y34" s="11"/>
      <c r="Z34" s="11"/>
    </row>
    <row r="35" ht="12.75" customHeight="1">
      <c r="A35" s="105"/>
      <c r="B35" s="102" t="s">
        <v>96</v>
      </c>
      <c r="C35" s="11"/>
      <c r="D35" s="11"/>
      <c r="E35" s="11"/>
      <c r="F35" s="11"/>
      <c r="G35" s="11"/>
      <c r="H35" s="11"/>
      <c r="I35" s="11"/>
      <c r="J35" s="11"/>
      <c r="K35" s="11"/>
      <c r="L35" s="11"/>
      <c r="M35" s="11"/>
      <c r="N35" s="11"/>
      <c r="O35" s="11"/>
      <c r="P35" s="11"/>
      <c r="Q35" s="11"/>
      <c r="R35" s="11"/>
      <c r="S35" s="11"/>
      <c r="T35" s="11"/>
      <c r="U35" s="11"/>
      <c r="V35" s="11"/>
      <c r="W35" s="11"/>
      <c r="X35" s="11"/>
      <c r="Y35" s="11"/>
      <c r="Z35" s="11"/>
    </row>
    <row r="36" ht="12.75" customHeight="1">
      <c r="A36" s="105"/>
      <c r="B36" s="109" t="s">
        <v>97</v>
      </c>
      <c r="C36" s="11"/>
      <c r="D36" s="11"/>
      <c r="E36" s="11"/>
      <c r="F36" s="11"/>
      <c r="G36" s="11"/>
      <c r="H36" s="11"/>
      <c r="I36" s="11"/>
      <c r="J36" s="11"/>
      <c r="K36" s="11"/>
      <c r="L36" s="11"/>
      <c r="M36" s="11"/>
      <c r="N36" s="11"/>
      <c r="O36" s="11"/>
      <c r="P36" s="11"/>
      <c r="Q36" s="11"/>
      <c r="R36" s="11"/>
      <c r="S36" s="11"/>
      <c r="T36" s="11"/>
      <c r="U36" s="11"/>
      <c r="V36" s="11"/>
      <c r="W36" s="11"/>
      <c r="X36" s="11"/>
      <c r="Y36" s="11"/>
      <c r="Z36" s="11"/>
    </row>
    <row r="37" ht="12.75" customHeight="1">
      <c r="A37" s="105"/>
      <c r="B37" s="88"/>
      <c r="C37" s="11"/>
      <c r="D37" s="11"/>
      <c r="E37" s="11"/>
      <c r="F37" s="11"/>
      <c r="G37" s="11"/>
      <c r="H37" s="11"/>
      <c r="I37" s="11"/>
      <c r="J37" s="11"/>
      <c r="K37" s="11"/>
      <c r="L37" s="11"/>
      <c r="M37" s="11"/>
      <c r="N37" s="11"/>
      <c r="O37" s="11"/>
      <c r="P37" s="11"/>
      <c r="Q37" s="11"/>
      <c r="R37" s="11"/>
      <c r="S37" s="11"/>
      <c r="T37" s="11"/>
      <c r="U37" s="11"/>
      <c r="V37" s="11"/>
      <c r="W37" s="11"/>
      <c r="X37" s="11"/>
      <c r="Y37" s="11"/>
      <c r="Z37" s="11"/>
    </row>
    <row r="38" ht="12.75" customHeight="1">
      <c r="A38" s="100" t="s">
        <v>98</v>
      </c>
      <c r="C38" s="11"/>
      <c r="D38" s="11"/>
      <c r="E38" s="11"/>
      <c r="F38" s="11"/>
      <c r="G38" s="11"/>
      <c r="H38" s="11"/>
      <c r="I38" s="11"/>
      <c r="J38" s="11"/>
      <c r="K38" s="11"/>
      <c r="L38" s="11"/>
      <c r="M38" s="11"/>
      <c r="N38" s="11"/>
      <c r="O38" s="11"/>
      <c r="P38" s="11"/>
      <c r="Q38" s="11"/>
      <c r="R38" s="11"/>
      <c r="S38" s="11"/>
      <c r="T38" s="11"/>
      <c r="U38" s="11"/>
      <c r="V38" s="11"/>
      <c r="W38" s="11"/>
      <c r="X38" s="11"/>
      <c r="Y38" s="11"/>
      <c r="Z38" s="11"/>
    </row>
    <row r="39" ht="12.75" customHeight="1">
      <c r="A39" s="11"/>
      <c r="B39" s="102" t="s">
        <v>99</v>
      </c>
      <c r="C39" s="11"/>
      <c r="D39" s="11"/>
      <c r="E39" s="11"/>
      <c r="F39" s="11"/>
      <c r="G39" s="11"/>
      <c r="H39" s="11"/>
      <c r="I39" s="11"/>
      <c r="J39" s="11"/>
      <c r="K39" s="11"/>
      <c r="L39" s="11"/>
      <c r="M39" s="11"/>
      <c r="N39" s="11"/>
      <c r="O39" s="11"/>
      <c r="P39" s="11"/>
      <c r="Q39" s="11"/>
      <c r="R39" s="11"/>
      <c r="S39" s="11"/>
      <c r="T39" s="11"/>
      <c r="U39" s="11"/>
      <c r="V39" s="11"/>
      <c r="W39" s="11"/>
      <c r="X39" s="11"/>
      <c r="Y39" s="11"/>
      <c r="Z39" s="11"/>
    </row>
    <row r="40" ht="12.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ht="12.75" customHeight="1">
      <c r="A41" s="11"/>
      <c r="B41" s="102" t="s">
        <v>100</v>
      </c>
      <c r="C41" s="11"/>
      <c r="D41" s="11"/>
      <c r="E41" s="11"/>
      <c r="F41" s="11"/>
      <c r="G41" s="11"/>
      <c r="H41" s="11"/>
      <c r="I41" s="11"/>
      <c r="J41" s="11"/>
      <c r="K41" s="11"/>
      <c r="L41" s="11"/>
      <c r="M41" s="11"/>
      <c r="N41" s="11"/>
      <c r="O41" s="11"/>
      <c r="P41" s="11"/>
      <c r="Q41" s="11"/>
      <c r="R41" s="11"/>
      <c r="S41" s="11"/>
      <c r="T41" s="11"/>
      <c r="U41" s="11"/>
      <c r="V41" s="11"/>
      <c r="W41" s="11"/>
      <c r="X41" s="11"/>
      <c r="Y41" s="11"/>
      <c r="Z41" s="11"/>
    </row>
    <row r="42" ht="12.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12.75" customHeight="1">
      <c r="A43" s="11"/>
      <c r="B43" s="102" t="s">
        <v>101</v>
      </c>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2.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2.75" customHeight="1">
      <c r="A45" s="11"/>
      <c r="B45" s="102" t="s">
        <v>102</v>
      </c>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2.75" customHeight="1">
      <c r="A46" s="11"/>
      <c r="B46" s="110"/>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2.75" customHeight="1">
      <c r="A47" s="11"/>
      <c r="B47" s="102" t="s">
        <v>103</v>
      </c>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2.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2.75" customHeight="1">
      <c r="A49" s="100" t="s">
        <v>104</v>
      </c>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2.75" customHeight="1">
      <c r="A50" s="11"/>
      <c r="B50" s="102" t="s">
        <v>105</v>
      </c>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2.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2.75" customHeight="1">
      <c r="A52" s="111" t="s">
        <v>106</v>
      </c>
      <c r="B52" s="102" t="s">
        <v>107</v>
      </c>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2.75" customHeight="1">
      <c r="A53" s="111" t="s">
        <v>108</v>
      </c>
      <c r="B53" s="102" t="s">
        <v>109</v>
      </c>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2.75" customHeight="1">
      <c r="A54" s="111" t="s">
        <v>110</v>
      </c>
      <c r="B54" s="102" t="s">
        <v>111</v>
      </c>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2.75" customHeight="1">
      <c r="A55" s="99"/>
      <c r="B55" s="102" t="s">
        <v>112</v>
      </c>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2.75" customHeight="1">
      <c r="A56" s="99"/>
      <c r="B56" s="102" t="s">
        <v>113</v>
      </c>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2.75" customHeight="1">
      <c r="A57" s="111" t="s">
        <v>114</v>
      </c>
      <c r="B57" s="102" t="s">
        <v>115</v>
      </c>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2.75" customHeight="1">
      <c r="A58" s="99"/>
      <c r="B58" s="102" t="s">
        <v>116</v>
      </c>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2.75" customHeight="1">
      <c r="A59" s="99"/>
      <c r="B59" s="102" t="s">
        <v>117</v>
      </c>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2.75" customHeight="1">
      <c r="A60" s="111" t="s">
        <v>118</v>
      </c>
      <c r="B60" s="102" t="s">
        <v>119</v>
      </c>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2.75" customHeight="1">
      <c r="A61" s="99"/>
      <c r="B61" s="102" t="s">
        <v>120</v>
      </c>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2.75" customHeight="1">
      <c r="A62" s="111" t="s">
        <v>121</v>
      </c>
      <c r="B62" s="102" t="s">
        <v>122</v>
      </c>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2.75" customHeight="1">
      <c r="A63" s="112"/>
      <c r="B63" s="102" t="s">
        <v>123</v>
      </c>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2.75" customHeight="1">
      <c r="A64" s="11"/>
      <c r="B64" s="113"/>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2.75" customHeight="1">
      <c r="A65" s="100" t="s">
        <v>124</v>
      </c>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2.75" customHeight="1">
      <c r="A66" s="11"/>
      <c r="B66" s="102" t="s">
        <v>125</v>
      </c>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2.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2.75" customHeight="1">
      <c r="A68" s="100" t="s">
        <v>126</v>
      </c>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2.75" customHeight="1">
      <c r="A69" s="114" t="s">
        <v>127</v>
      </c>
      <c r="B69" s="115" t="s">
        <v>128</v>
      </c>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2.75" customHeight="1">
      <c r="A70" s="112"/>
      <c r="B70" s="116" t="s">
        <v>129</v>
      </c>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2.75" customHeight="1">
      <c r="A71" s="112"/>
      <c r="B71" s="117"/>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2.75" customHeight="1">
      <c r="A72" s="114" t="s">
        <v>127</v>
      </c>
      <c r="B72" s="115" t="s">
        <v>130</v>
      </c>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2.75" customHeight="1">
      <c r="A73" s="112"/>
      <c r="B73" s="116" t="s">
        <v>131</v>
      </c>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2.75" customHeight="1">
      <c r="A74" s="112"/>
      <c r="B74" s="117"/>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2.75" customHeight="1">
      <c r="A75" s="114" t="s">
        <v>127</v>
      </c>
      <c r="B75" s="118" t="s">
        <v>132</v>
      </c>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2.75" customHeight="1">
      <c r="A76" s="112"/>
      <c r="B76" s="98" t="s">
        <v>133</v>
      </c>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2.75" customHeight="1">
      <c r="A77" s="112"/>
      <c r="B77" s="112"/>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2.75" customHeight="1">
      <c r="A78" s="114" t="s">
        <v>127</v>
      </c>
      <c r="B78" s="118" t="s">
        <v>134</v>
      </c>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2.75" customHeight="1">
      <c r="A79" s="112"/>
      <c r="B79" s="98" t="s">
        <v>135</v>
      </c>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2.75" customHeight="1">
      <c r="A80" s="112"/>
      <c r="B80" s="112"/>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2.75" customHeight="1">
      <c r="A81" s="114" t="s">
        <v>127</v>
      </c>
      <c r="B81" s="118" t="s">
        <v>136</v>
      </c>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2.75" customHeight="1">
      <c r="A82" s="112"/>
      <c r="B82" s="119" t="s">
        <v>137</v>
      </c>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2.75" customHeight="1">
      <c r="A83" s="112"/>
      <c r="B83" s="119" t="s">
        <v>138</v>
      </c>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2.75" customHeight="1">
      <c r="A84" s="112"/>
      <c r="B84" s="119" t="s">
        <v>139</v>
      </c>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2.75" customHeight="1">
      <c r="A85" s="112"/>
      <c r="B85" s="120"/>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2.75" customHeight="1">
      <c r="A86" s="114" t="s">
        <v>127</v>
      </c>
      <c r="B86" s="118" t="s">
        <v>140</v>
      </c>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2.75" customHeight="1">
      <c r="A87" s="112"/>
      <c r="B87" s="98" t="s">
        <v>141</v>
      </c>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2.75" customHeight="1">
      <c r="A88" s="112"/>
      <c r="B88" s="98" t="s">
        <v>142</v>
      </c>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2.75" customHeight="1">
      <c r="A89" s="112"/>
      <c r="B89" s="121" t="s">
        <v>143</v>
      </c>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2.75" customHeight="1">
      <c r="A90" s="112"/>
      <c r="B90" s="112"/>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2.75" customHeight="1">
      <c r="A91" s="114" t="s">
        <v>127</v>
      </c>
      <c r="B91" s="118" t="s">
        <v>144</v>
      </c>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2.75" customHeight="1">
      <c r="A92" s="99"/>
      <c r="B92" s="119" t="s">
        <v>145</v>
      </c>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2.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2.75" customHeight="1">
      <c r="A94" s="122" t="s">
        <v>146</v>
      </c>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2.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2.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2.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2.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2.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2.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2.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2.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2.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2.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2.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2.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2.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2.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2.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2.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2.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2.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2.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2.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2.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2.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2.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2.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2.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2.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2.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2.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2.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2.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2.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2.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2.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2.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2.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2.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2.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2.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2.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2.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2.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2.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2.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2.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2.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2.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2.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2.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2.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2.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2.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2.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2.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2.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2.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2.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2.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2.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2.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2.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2.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2.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2.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2.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2.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2.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2.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2.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2.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2.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2.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2.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2.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2.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2.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2.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2.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2.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2.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2.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2.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2.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2.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2.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2.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2.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2.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2.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2.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2.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2.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2.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2.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2.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2.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2.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2.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2.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2.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2.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2.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2.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2.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2.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2.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2.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2.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2.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2.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2.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2.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2.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2.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2.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2.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2.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2.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2.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2.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2.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2.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2.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2.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2.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2.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2.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2.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2.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2.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2.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2.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2.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2.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2.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2.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2.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2.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2.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2.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2.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2.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2.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2.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2.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2.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2.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2.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2.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2.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2.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2.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2.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2.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2.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2.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2.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2.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2.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2.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2.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2.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2.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2.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2.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2.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2.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2.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2.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2.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2.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2.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2.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2.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2.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2.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2.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2.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2.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2.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2.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2.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2.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2.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2.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2.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2.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2.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2.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2.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2.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2.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2.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2.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2.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2.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2.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2.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2.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2.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2.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2.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2.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2.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2.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2.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2.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2.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2.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2.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2.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2.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2.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2.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2.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2.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2.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2.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2.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2.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2.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2.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2.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2.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2.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2.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2.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2.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2.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2.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2.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2.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2.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2.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2.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2.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2.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2.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2.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2.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2.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2.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2.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2.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2.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2.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2.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2.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2.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2.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2.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2.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2.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2.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2.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2.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2.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2.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2.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2.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2.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2.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2.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2.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2.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2.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2.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2.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2.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2.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2.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2.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2.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2.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2.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2.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2.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2.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2.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2.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2.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2.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2.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2.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2.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2.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2.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2.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2.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2.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2.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2.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2.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2.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2.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2.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2.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2.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2.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2.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2.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2.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2.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2.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2.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2.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2.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2.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2.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2.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2.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2.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2.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2.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2.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2.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2.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2.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2.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2.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2.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2.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2.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2.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2.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2.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2.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2.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2.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2.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2.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2.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2.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2.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2.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2.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2.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2.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2.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2.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2.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2.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2.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2.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2.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2.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2.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2.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2.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2.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2.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2.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2.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2.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2.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2.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2.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2.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2.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2.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2.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2.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2.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2.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2.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2.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2.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2.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2.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2.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2.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2.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2.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2.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2.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2.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2.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2.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2.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2.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2.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2.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2.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2.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2.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2.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2.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2.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2.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2.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2.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2.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2.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2.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2.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2.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2.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2.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2.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2.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2.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2.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2.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2.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2.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2.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2.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2.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2.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2.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2.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2.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2.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2.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2.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2.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2.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2.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2.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2.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2.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2.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2.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2.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2.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2.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2.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2.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2.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2.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2.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2.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2.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2.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2.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2.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2.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2.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2.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2.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2.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2.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2.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2.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2.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2.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2.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2.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2.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2.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2.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2.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2.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2.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2.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2.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2.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2.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2.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2.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2.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2.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2.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2.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2.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2.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2.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2.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2.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2.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2.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2.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2.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2.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2.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2.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2.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2.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2.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2.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2.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2.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2.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2.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2.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2.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2.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2.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2.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2.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2.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2.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2.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2.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2.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2.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2.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2.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2.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2.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2.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2.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2.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2.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2.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2.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2.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2.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2.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2.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2.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2.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2.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2.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2.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2.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2.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2.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2.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2.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2.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2.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2.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2.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2.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2.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2.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2.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2.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2.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2.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2.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2.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2.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2.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2.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2.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2.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2.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2.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2.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2.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2.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2.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2.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2.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2.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2.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2.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2.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2.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2.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2.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2.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2.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2.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2.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2.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2.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2.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2.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2.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2.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2.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2.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2.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2.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2.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2.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2.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2.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2.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2.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2.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2.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2.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2.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2.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2.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2.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2.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2.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2.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2.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2.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2.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2.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2.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2.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2.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2.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2.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2.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2.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2.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2.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2.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2.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2.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2.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2.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2.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2.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2.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2.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2.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2.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2.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2.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2.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2.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2.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2.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2.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2.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2.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2.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2.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2.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2.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2.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2.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2.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2.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2.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2.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2.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2.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2.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2.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2.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2.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2.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2.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2.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2.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2.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2.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2.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2.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2.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2.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2.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2.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2.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2.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2.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2.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2.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2.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2.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2.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2.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2.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2.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2.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2.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2.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2.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2.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2.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2.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2.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2.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2.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2.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2.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2.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2.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2.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2.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2.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2.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2.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2.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2.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2.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2.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2.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2.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2.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2.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2.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2.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2.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2.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2.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2.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2.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2.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2.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2.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2.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2.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2.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2.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2.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2.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2.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2.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2.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2.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2.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2.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2.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2.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2.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2.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2.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2.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2.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2.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2.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2.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2.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2.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2.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2.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2.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2.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2.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2.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2.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2.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2.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2.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2.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2.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2.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2.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2.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2.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2.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2.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2.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2.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2.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2.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2.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2.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2.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2.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2.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2.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2.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2.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2.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2.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2.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2.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2.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2.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2.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2.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2.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2.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2.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2.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2.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2.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2.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2.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2.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2.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2.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2.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2.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2.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2.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2.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2.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2.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2.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2.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2.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2.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2.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2.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2.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2.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2.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2.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2.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2.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2.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2.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2.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2.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2.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2.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2.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2.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2.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2.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2.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2.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2.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2.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2.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2.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2.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2.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2.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2.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2.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2.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2.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2.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2.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2.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2.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2.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2.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2.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2.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2.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2.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2.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2.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2.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2.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2.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2.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2.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2.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2.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2.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2.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2.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2.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2.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2.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2.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2.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2.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2.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2.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2.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2.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2.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2.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2.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2.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2.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2.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2.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2.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2.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2.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2.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2.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2.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2.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2.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2.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2.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2.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2.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2.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2.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2.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2.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2.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2.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2.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2.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2.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2.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2.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2.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2.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2.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2.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2.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2.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2.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2.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2.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2.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2.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2.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2.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2.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2.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2.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2.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2.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2.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2.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2.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2.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2.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2.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2.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2.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2.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2.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2.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2.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2.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2.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2.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2.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2.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2.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2.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2.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6">
    <mergeCell ref="A13:B13"/>
    <mergeCell ref="A24:B24"/>
    <mergeCell ref="A38:B38"/>
    <mergeCell ref="A49:B49"/>
    <mergeCell ref="A65:B65"/>
    <mergeCell ref="A68:B68"/>
  </mergeCells>
  <hyperlinks>
    <hyperlink r:id="rId2" ref="A2"/>
    <hyperlink r:id="rId3" ref="B9"/>
    <hyperlink r:id="rId4" ref="B36"/>
  </hyperlinks>
  <printOptions/>
  <pageMargins bottom="0.25" footer="0.0" header="0.0" left="0.5" right="0.5" top="0.25"/>
  <pageSetup orientation="portrait"/>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63"/>
    <col customWidth="1" min="2" max="2" width="82.13"/>
    <col customWidth="1" min="3" max="26" width="8.88"/>
  </cols>
  <sheetData>
    <row r="1" ht="30.0" customHeight="1">
      <c r="A1" s="93" t="s">
        <v>147</v>
      </c>
      <c r="B1" s="93"/>
    </row>
    <row r="2" ht="12.75" customHeight="1">
      <c r="A2" s="11"/>
      <c r="B2" s="123"/>
    </row>
    <row r="3" ht="12.75" customHeight="1">
      <c r="A3" s="124"/>
      <c r="B3" s="125" t="s">
        <v>148</v>
      </c>
      <c r="C3" s="124"/>
    </row>
    <row r="4" ht="12.75" customHeight="1">
      <c r="A4" s="126"/>
      <c r="B4" s="127" t="s">
        <v>43</v>
      </c>
      <c r="C4" s="126"/>
    </row>
    <row r="5" ht="12.75" customHeight="1">
      <c r="A5" s="126"/>
      <c r="B5" s="128"/>
      <c r="C5" s="126"/>
    </row>
    <row r="6" ht="12.75" customHeight="1">
      <c r="A6" s="126"/>
      <c r="B6" s="129" t="s">
        <v>146</v>
      </c>
      <c r="C6" s="126"/>
    </row>
    <row r="7" ht="12.75" customHeight="1">
      <c r="A7" s="126"/>
      <c r="B7" s="128"/>
      <c r="C7" s="126"/>
    </row>
    <row r="8" ht="12.75" customHeight="1">
      <c r="A8" s="126"/>
      <c r="B8" s="128" t="s">
        <v>149</v>
      </c>
      <c r="C8" s="126"/>
    </row>
    <row r="9" ht="12.75" customHeight="1">
      <c r="A9" s="126"/>
      <c r="B9" s="128"/>
      <c r="C9" s="126"/>
    </row>
    <row r="10" ht="12.75" customHeight="1">
      <c r="A10" s="126"/>
      <c r="B10" s="128" t="s">
        <v>150</v>
      </c>
      <c r="C10" s="126"/>
    </row>
    <row r="11" ht="12.75" customHeight="1">
      <c r="A11" s="126"/>
      <c r="B11" s="128"/>
      <c r="C11" s="126"/>
    </row>
    <row r="12" ht="12.75" customHeight="1">
      <c r="A12" s="126"/>
      <c r="B12" s="128" t="s">
        <v>151</v>
      </c>
      <c r="C12" s="126"/>
    </row>
    <row r="13" ht="12.75" customHeight="1">
      <c r="A13" s="126"/>
      <c r="B13" s="128"/>
      <c r="C13" s="126"/>
    </row>
    <row r="14" ht="12.75" customHeight="1">
      <c r="A14" s="126"/>
      <c r="B14" s="128" t="s">
        <v>152</v>
      </c>
      <c r="C14" s="126"/>
    </row>
    <row r="15" ht="12.75" customHeight="1">
      <c r="A15" s="126"/>
      <c r="B15" s="128"/>
      <c r="C15" s="126"/>
    </row>
    <row r="16" ht="12.75" customHeight="1">
      <c r="A16" s="126"/>
      <c r="B16" s="128" t="s">
        <v>153</v>
      </c>
      <c r="C16" s="126"/>
    </row>
    <row r="17" ht="12.75" customHeight="1">
      <c r="A17" s="126"/>
      <c r="B17" s="128"/>
      <c r="C17" s="126"/>
    </row>
    <row r="18" ht="12.75" customHeight="1">
      <c r="A18" s="126"/>
      <c r="B18" s="129" t="s">
        <v>154</v>
      </c>
      <c r="C18" s="126"/>
    </row>
    <row r="19" ht="12.75" customHeight="1">
      <c r="A19" s="126"/>
      <c r="B19" s="130" t="s">
        <v>155</v>
      </c>
      <c r="C19" s="126"/>
    </row>
    <row r="20" ht="12.75" customHeight="1">
      <c r="A20" s="126"/>
      <c r="B20" s="131"/>
      <c r="C20" s="126"/>
    </row>
    <row r="21" ht="12.75" customHeight="1">
      <c r="A21" s="126"/>
      <c r="B21" s="126"/>
      <c r="C21" s="126"/>
    </row>
    <row r="22" ht="12.75" customHeight="1">
      <c r="A22" s="126"/>
      <c r="B22" s="126"/>
      <c r="C22" s="126"/>
    </row>
    <row r="23" ht="12.75" customHeight="1">
      <c r="A23" s="126"/>
      <c r="B23" s="126"/>
      <c r="C23" s="126"/>
    </row>
    <row r="24" ht="12.75" customHeight="1">
      <c r="A24" s="126"/>
      <c r="B24" s="126"/>
      <c r="C24" s="126"/>
    </row>
    <row r="25" ht="12.75" customHeight="1">
      <c r="A25" s="126"/>
      <c r="B25" s="126"/>
      <c r="C25" s="126"/>
    </row>
    <row r="26" ht="12.75" customHeight="1">
      <c r="A26" s="126"/>
      <c r="B26" s="126"/>
      <c r="C26" s="126"/>
    </row>
    <row r="27" ht="12.75" customHeight="1">
      <c r="A27" s="126"/>
      <c r="B27" s="126"/>
      <c r="C27" s="126"/>
    </row>
    <row r="28" ht="12.75" customHeight="1">
      <c r="A28" s="126"/>
      <c r="B28" s="126"/>
      <c r="C28" s="126"/>
    </row>
    <row r="29" ht="12.75" customHeight="1">
      <c r="A29" s="126"/>
      <c r="B29" s="126"/>
      <c r="C29" s="126"/>
    </row>
    <row r="30" ht="12.75" customHeight="1">
      <c r="A30" s="11"/>
      <c r="B30" s="11"/>
    </row>
    <row r="31" ht="12.75" customHeight="1">
      <c r="A31" s="11"/>
      <c r="B31" s="11"/>
    </row>
    <row r="32" ht="12.75" customHeight="1">
      <c r="A32" s="11"/>
      <c r="B32" s="11"/>
    </row>
    <row r="33" ht="12.75" customHeight="1">
      <c r="A33" s="11"/>
      <c r="B33" s="11"/>
    </row>
    <row r="34" ht="12.75" customHeight="1">
      <c r="A34" s="11"/>
      <c r="B34" s="11"/>
    </row>
    <row r="35" ht="12.75" customHeight="1">
      <c r="A35" s="11"/>
      <c r="B35" s="11"/>
    </row>
    <row r="36" ht="12.75" customHeight="1">
      <c r="A36" s="11"/>
      <c r="B36" s="11"/>
    </row>
    <row r="37" ht="12.75" customHeight="1">
      <c r="A37" s="11"/>
      <c r="B37" s="11"/>
    </row>
    <row r="38" ht="12.75" customHeight="1">
      <c r="A38" s="11"/>
      <c r="B38" s="11"/>
    </row>
    <row r="39" ht="12.75" customHeight="1">
      <c r="A39" s="11"/>
      <c r="B39" s="11"/>
    </row>
    <row r="40" ht="12.75" customHeight="1">
      <c r="A40" s="11"/>
      <c r="B40" s="11"/>
    </row>
    <row r="41" ht="12.75" customHeight="1">
      <c r="A41" s="11"/>
      <c r="B41" s="11"/>
    </row>
    <row r="42" ht="12.75" customHeight="1">
      <c r="A42" s="11"/>
      <c r="B42" s="11"/>
    </row>
    <row r="43" ht="12.75" customHeight="1">
      <c r="A43" s="11"/>
      <c r="B43" s="11"/>
    </row>
    <row r="44" ht="12.75" customHeight="1">
      <c r="A44" s="11"/>
      <c r="B44" s="11"/>
    </row>
    <row r="45" ht="12.75" customHeight="1">
      <c r="A45" s="11"/>
      <c r="B45" s="11"/>
    </row>
    <row r="46" ht="12.75" customHeight="1">
      <c r="A46" s="11"/>
      <c r="B46" s="11"/>
    </row>
    <row r="47" ht="12.75" customHeight="1">
      <c r="A47" s="11"/>
      <c r="B47" s="11"/>
    </row>
    <row r="48" ht="12.75" customHeight="1">
      <c r="A48" s="11"/>
      <c r="B48" s="11"/>
    </row>
    <row r="49" ht="12.75" customHeight="1">
      <c r="A49" s="11"/>
      <c r="B49" s="11"/>
    </row>
    <row r="50" ht="12.75" customHeight="1">
      <c r="A50" s="11"/>
      <c r="B50" s="11"/>
    </row>
    <row r="51" ht="12.75" customHeight="1">
      <c r="A51" s="11"/>
      <c r="B51" s="11"/>
    </row>
    <row r="52" ht="12.75" customHeight="1">
      <c r="A52" s="11"/>
      <c r="B52" s="11"/>
    </row>
    <row r="53" ht="12.75" customHeight="1">
      <c r="A53" s="11"/>
      <c r="B53" s="11"/>
    </row>
    <row r="54" ht="12.75" customHeight="1">
      <c r="A54" s="11"/>
      <c r="B54" s="11"/>
    </row>
    <row r="55" ht="12.75" customHeight="1">
      <c r="A55" s="11"/>
      <c r="B55" s="11"/>
    </row>
    <row r="56" ht="12.75" customHeight="1">
      <c r="A56" s="11"/>
      <c r="B56" s="11"/>
    </row>
    <row r="57" ht="12.75" customHeight="1">
      <c r="A57" s="11"/>
      <c r="B57" s="11"/>
    </row>
    <row r="58" ht="12.75" customHeight="1">
      <c r="A58" s="11"/>
      <c r="B58" s="11"/>
    </row>
    <row r="59" ht="12.75" customHeight="1">
      <c r="A59" s="11"/>
      <c r="B59" s="11"/>
    </row>
    <row r="60" ht="12.75" customHeight="1">
      <c r="A60" s="11"/>
      <c r="B60" s="11"/>
    </row>
    <row r="61" ht="12.75" customHeight="1">
      <c r="A61" s="11"/>
      <c r="B61" s="11"/>
    </row>
    <row r="62" ht="12.75" customHeight="1">
      <c r="A62" s="11"/>
      <c r="B62" s="11"/>
    </row>
    <row r="63" ht="12.75" customHeight="1">
      <c r="A63" s="11"/>
      <c r="B63" s="11"/>
    </row>
    <row r="64" ht="12.75" customHeight="1">
      <c r="A64" s="11"/>
      <c r="B64" s="11"/>
    </row>
    <row r="65" ht="12.75" customHeight="1">
      <c r="A65" s="11"/>
      <c r="B65" s="11"/>
    </row>
    <row r="66" ht="12.75" customHeight="1">
      <c r="A66" s="11"/>
      <c r="B66" s="11"/>
    </row>
    <row r="67" ht="12.75" customHeight="1">
      <c r="A67" s="11"/>
      <c r="B67" s="11"/>
    </row>
    <row r="68" ht="12.75" customHeight="1">
      <c r="A68" s="11"/>
      <c r="B68" s="11"/>
    </row>
    <row r="69" ht="12.75" customHeight="1">
      <c r="A69" s="11"/>
      <c r="B69" s="11"/>
    </row>
    <row r="70" ht="12.75" customHeight="1">
      <c r="A70" s="11"/>
      <c r="B70" s="11"/>
    </row>
    <row r="71" ht="12.75" customHeight="1">
      <c r="A71" s="11"/>
      <c r="B71" s="11"/>
    </row>
    <row r="72" ht="12.75" customHeight="1">
      <c r="A72" s="11"/>
      <c r="B72" s="11"/>
    </row>
    <row r="73" ht="12.75" customHeight="1">
      <c r="A73" s="11"/>
      <c r="B73" s="11"/>
    </row>
    <row r="74" ht="12.75" customHeight="1">
      <c r="A74" s="11"/>
      <c r="B74" s="11"/>
    </row>
    <row r="75" ht="12.75" customHeight="1">
      <c r="A75" s="11"/>
      <c r="B75" s="11"/>
    </row>
    <row r="76" ht="12.75" customHeight="1">
      <c r="A76" s="11"/>
      <c r="B76" s="11"/>
    </row>
    <row r="77" ht="12.75" customHeight="1">
      <c r="A77" s="11"/>
      <c r="B77" s="11"/>
    </row>
    <row r="78" ht="12.75" customHeight="1">
      <c r="A78" s="11"/>
      <c r="B78" s="11"/>
    </row>
    <row r="79" ht="12.75" customHeight="1">
      <c r="A79" s="11"/>
      <c r="B79" s="11"/>
    </row>
    <row r="80" ht="12.75" customHeight="1">
      <c r="A80" s="11"/>
      <c r="B80" s="11"/>
    </row>
    <row r="81" ht="12.75" customHeight="1">
      <c r="A81" s="11"/>
      <c r="B81" s="11"/>
    </row>
    <row r="82" ht="12.75" customHeight="1">
      <c r="A82" s="11"/>
      <c r="B82" s="11"/>
    </row>
    <row r="83" ht="12.75" customHeight="1">
      <c r="A83" s="11"/>
      <c r="B83" s="11"/>
    </row>
    <row r="84" ht="12.75" customHeight="1">
      <c r="A84" s="11"/>
      <c r="B84" s="11"/>
    </row>
    <row r="85" ht="12.75" customHeight="1">
      <c r="A85" s="11"/>
      <c r="B85" s="11"/>
    </row>
    <row r="86" ht="12.75" customHeight="1">
      <c r="A86" s="11"/>
      <c r="B86" s="11"/>
    </row>
    <row r="87" ht="12.75" customHeight="1">
      <c r="A87" s="11"/>
      <c r="B87" s="11"/>
    </row>
    <row r="88" ht="12.75" customHeight="1">
      <c r="A88" s="11"/>
      <c r="B88" s="11"/>
    </row>
    <row r="89" ht="12.75" customHeight="1">
      <c r="A89" s="11"/>
      <c r="B89" s="11"/>
    </row>
    <row r="90" ht="12.75" customHeight="1">
      <c r="A90" s="11"/>
      <c r="B90" s="11"/>
    </row>
    <row r="91" ht="12.75" customHeight="1">
      <c r="A91" s="11"/>
      <c r="B91" s="11"/>
    </row>
    <row r="92" ht="12.75" customHeight="1">
      <c r="A92" s="11"/>
      <c r="B92" s="11"/>
    </row>
    <row r="93" ht="12.75" customHeight="1">
      <c r="A93" s="11"/>
      <c r="B93" s="11"/>
    </row>
    <row r="94" ht="12.75" customHeight="1">
      <c r="A94" s="11"/>
      <c r="B94" s="11"/>
    </row>
    <row r="95" ht="12.75" customHeight="1">
      <c r="A95" s="11"/>
      <c r="B95" s="11"/>
    </row>
    <row r="96" ht="12.75" customHeight="1">
      <c r="A96" s="11"/>
      <c r="B96" s="11"/>
    </row>
    <row r="97" ht="12.75" customHeight="1">
      <c r="A97" s="11"/>
      <c r="B97" s="11"/>
    </row>
    <row r="98" ht="12.75" customHeight="1">
      <c r="A98" s="11"/>
      <c r="B98" s="11"/>
    </row>
    <row r="99" ht="12.75" customHeight="1">
      <c r="A99" s="11"/>
      <c r="B99" s="11"/>
    </row>
    <row r="100" ht="12.75" customHeight="1">
      <c r="A100" s="11"/>
      <c r="B100" s="11"/>
    </row>
    <row r="101" ht="12.75" customHeight="1">
      <c r="A101" s="11"/>
      <c r="B101" s="11"/>
    </row>
    <row r="102" ht="12.75" customHeight="1">
      <c r="A102" s="11"/>
      <c r="B102" s="11"/>
    </row>
    <row r="103" ht="12.75" customHeight="1">
      <c r="A103" s="11"/>
      <c r="B103" s="11"/>
    </row>
    <row r="104" ht="12.75" customHeight="1">
      <c r="A104" s="11"/>
      <c r="B104" s="11"/>
    </row>
    <row r="105" ht="12.75" customHeight="1">
      <c r="A105" s="11"/>
      <c r="B105" s="11"/>
    </row>
    <row r="106" ht="12.75" customHeight="1">
      <c r="A106" s="11"/>
      <c r="B106" s="11"/>
    </row>
    <row r="107" ht="12.75" customHeight="1">
      <c r="A107" s="11"/>
      <c r="B107" s="11"/>
    </row>
    <row r="108" ht="12.75" customHeight="1">
      <c r="A108" s="11"/>
      <c r="B108" s="11"/>
    </row>
    <row r="109" ht="12.75" customHeight="1">
      <c r="A109" s="11"/>
      <c r="B109" s="11"/>
    </row>
    <row r="110" ht="12.75" customHeight="1">
      <c r="A110" s="11"/>
      <c r="B110" s="11"/>
    </row>
    <row r="111" ht="12.75" customHeight="1">
      <c r="A111" s="11"/>
      <c r="B111" s="11"/>
    </row>
    <row r="112" ht="12.75" customHeight="1">
      <c r="A112" s="11"/>
      <c r="B112" s="11"/>
    </row>
    <row r="113" ht="12.75" customHeight="1">
      <c r="A113" s="11"/>
      <c r="B113" s="11"/>
    </row>
    <row r="114" ht="12.75" customHeight="1">
      <c r="A114" s="11"/>
      <c r="B114" s="11"/>
    </row>
    <row r="115" ht="12.75" customHeight="1">
      <c r="A115" s="11"/>
      <c r="B115" s="11"/>
    </row>
    <row r="116" ht="12.75" customHeight="1">
      <c r="A116" s="11"/>
      <c r="B116" s="11"/>
    </row>
    <row r="117" ht="12.75" customHeight="1">
      <c r="A117" s="11"/>
      <c r="B117" s="11"/>
    </row>
    <row r="118" ht="12.75" customHeight="1">
      <c r="A118" s="11"/>
      <c r="B118" s="11"/>
    </row>
    <row r="119" ht="12.75" customHeight="1">
      <c r="A119" s="11"/>
      <c r="B119" s="11"/>
    </row>
    <row r="120" ht="12.75" customHeight="1">
      <c r="A120" s="11"/>
      <c r="B120" s="11"/>
    </row>
    <row r="121" ht="12.75" customHeight="1">
      <c r="A121" s="11"/>
      <c r="B121" s="11"/>
    </row>
    <row r="122" ht="12.75" customHeight="1">
      <c r="A122" s="11"/>
      <c r="B122" s="11"/>
    </row>
    <row r="123" ht="12.75" customHeight="1">
      <c r="A123" s="11"/>
      <c r="B123" s="11"/>
    </row>
    <row r="124" ht="12.75" customHeight="1">
      <c r="A124" s="11"/>
      <c r="B124" s="11"/>
    </row>
    <row r="125" ht="12.75" customHeight="1">
      <c r="A125" s="11"/>
      <c r="B125" s="11"/>
    </row>
    <row r="126" ht="12.75" customHeight="1">
      <c r="A126" s="11"/>
      <c r="B126" s="11"/>
    </row>
    <row r="127" ht="12.75" customHeight="1">
      <c r="A127" s="11"/>
      <c r="B127" s="11"/>
    </row>
    <row r="128" ht="12.75" customHeight="1">
      <c r="A128" s="11"/>
      <c r="B128" s="11"/>
    </row>
    <row r="129" ht="12.75" customHeight="1">
      <c r="A129" s="11"/>
      <c r="B129" s="11"/>
    </row>
    <row r="130" ht="12.75" customHeight="1">
      <c r="A130" s="11"/>
      <c r="B130" s="11"/>
    </row>
    <row r="131" ht="12.75" customHeight="1">
      <c r="A131" s="11"/>
      <c r="B131" s="11"/>
    </row>
    <row r="132" ht="12.75" customHeight="1">
      <c r="A132" s="11"/>
      <c r="B132" s="11"/>
    </row>
    <row r="133" ht="12.75" customHeight="1">
      <c r="A133" s="11"/>
      <c r="B133" s="11"/>
    </row>
    <row r="134" ht="12.75" customHeight="1">
      <c r="A134" s="11"/>
      <c r="B134" s="11"/>
    </row>
    <row r="135" ht="12.75" customHeight="1">
      <c r="A135" s="11"/>
      <c r="B135" s="11"/>
    </row>
    <row r="136" ht="12.75" customHeight="1">
      <c r="A136" s="11"/>
      <c r="B136" s="11"/>
    </row>
    <row r="137" ht="12.75" customHeight="1">
      <c r="A137" s="11"/>
      <c r="B137" s="11"/>
    </row>
    <row r="138" ht="12.75" customHeight="1">
      <c r="A138" s="11"/>
      <c r="B138" s="11"/>
    </row>
    <row r="139" ht="12.75" customHeight="1">
      <c r="A139" s="11"/>
      <c r="B139" s="11"/>
    </row>
    <row r="140" ht="12.75" customHeight="1">
      <c r="A140" s="11"/>
      <c r="B140" s="11"/>
    </row>
    <row r="141" ht="12.75" customHeight="1">
      <c r="A141" s="11"/>
      <c r="B141" s="11"/>
    </row>
    <row r="142" ht="12.75" customHeight="1">
      <c r="A142" s="11"/>
      <c r="B142" s="11"/>
    </row>
    <row r="143" ht="12.75" customHeight="1">
      <c r="A143" s="11"/>
      <c r="B143" s="11"/>
    </row>
    <row r="144" ht="12.75" customHeight="1">
      <c r="A144" s="11"/>
      <c r="B144" s="11"/>
    </row>
    <row r="145" ht="12.75" customHeight="1">
      <c r="A145" s="11"/>
      <c r="B145" s="11"/>
    </row>
    <row r="146" ht="12.75" customHeight="1">
      <c r="A146" s="11"/>
      <c r="B146" s="11"/>
    </row>
    <row r="147" ht="12.75" customHeight="1">
      <c r="A147" s="11"/>
      <c r="B147" s="11"/>
    </row>
    <row r="148" ht="12.75" customHeight="1">
      <c r="A148" s="11"/>
      <c r="B148" s="11"/>
    </row>
    <row r="149" ht="12.75" customHeight="1">
      <c r="A149" s="11"/>
      <c r="B149" s="11"/>
    </row>
    <row r="150" ht="12.75" customHeight="1">
      <c r="A150" s="11"/>
      <c r="B150" s="11"/>
    </row>
    <row r="151" ht="12.75" customHeight="1">
      <c r="A151" s="11"/>
      <c r="B151" s="11"/>
    </row>
    <row r="152" ht="12.75" customHeight="1">
      <c r="A152" s="11"/>
      <c r="B152" s="11"/>
    </row>
    <row r="153" ht="12.75" customHeight="1">
      <c r="A153" s="11"/>
      <c r="B153" s="11"/>
    </row>
    <row r="154" ht="12.75" customHeight="1">
      <c r="A154" s="11"/>
      <c r="B154" s="11"/>
    </row>
    <row r="155" ht="12.75" customHeight="1">
      <c r="A155" s="11"/>
      <c r="B155" s="11"/>
    </row>
    <row r="156" ht="12.75" customHeight="1">
      <c r="A156" s="11"/>
      <c r="B156" s="11"/>
    </row>
    <row r="157" ht="12.75" customHeight="1">
      <c r="A157" s="11"/>
      <c r="B157" s="11"/>
    </row>
    <row r="158" ht="12.75" customHeight="1">
      <c r="A158" s="11"/>
      <c r="B158" s="11"/>
    </row>
    <row r="159" ht="12.75" customHeight="1">
      <c r="A159" s="11"/>
      <c r="B159" s="11"/>
    </row>
    <row r="160" ht="12.75" customHeight="1">
      <c r="A160" s="11"/>
      <c r="B160" s="11"/>
    </row>
    <row r="161" ht="12.75" customHeight="1">
      <c r="A161" s="11"/>
      <c r="B161" s="11"/>
    </row>
    <row r="162" ht="12.75" customHeight="1">
      <c r="A162" s="11"/>
      <c r="B162" s="11"/>
    </row>
    <row r="163" ht="12.75" customHeight="1">
      <c r="A163" s="11"/>
      <c r="B163" s="11"/>
    </row>
    <row r="164" ht="12.75" customHeight="1">
      <c r="A164" s="11"/>
      <c r="B164" s="11"/>
    </row>
    <row r="165" ht="12.75" customHeight="1">
      <c r="A165" s="11"/>
      <c r="B165" s="11"/>
    </row>
    <row r="166" ht="12.75" customHeight="1">
      <c r="A166" s="11"/>
      <c r="B166" s="11"/>
    </row>
    <row r="167" ht="12.75" customHeight="1">
      <c r="A167" s="11"/>
      <c r="B167" s="11"/>
    </row>
    <row r="168" ht="12.75" customHeight="1">
      <c r="A168" s="11"/>
      <c r="B168" s="11"/>
    </row>
    <row r="169" ht="12.75" customHeight="1">
      <c r="A169" s="11"/>
      <c r="B169" s="11"/>
    </row>
    <row r="170" ht="12.75" customHeight="1">
      <c r="A170" s="11"/>
      <c r="B170" s="11"/>
    </row>
    <row r="171" ht="12.75" customHeight="1">
      <c r="A171" s="11"/>
      <c r="B171" s="11"/>
    </row>
    <row r="172" ht="12.75" customHeight="1">
      <c r="A172" s="11"/>
      <c r="B172" s="11"/>
    </row>
    <row r="173" ht="12.75" customHeight="1">
      <c r="A173" s="11"/>
      <c r="B173" s="11"/>
    </row>
    <row r="174" ht="12.75" customHeight="1">
      <c r="A174" s="11"/>
      <c r="B174" s="11"/>
    </row>
    <row r="175" ht="12.75" customHeight="1">
      <c r="A175" s="11"/>
      <c r="B175" s="11"/>
    </row>
    <row r="176" ht="12.75" customHeight="1">
      <c r="A176" s="11"/>
      <c r="B176" s="11"/>
    </row>
    <row r="177" ht="12.75" customHeight="1">
      <c r="A177" s="11"/>
      <c r="B177" s="11"/>
    </row>
    <row r="178" ht="12.75" customHeight="1">
      <c r="A178" s="11"/>
      <c r="B178" s="11"/>
    </row>
    <row r="179" ht="12.75" customHeight="1">
      <c r="A179" s="11"/>
      <c r="B179" s="11"/>
    </row>
    <row r="180" ht="12.75" customHeight="1">
      <c r="A180" s="11"/>
      <c r="B180" s="11"/>
    </row>
    <row r="181" ht="12.75" customHeight="1">
      <c r="A181" s="11"/>
      <c r="B181" s="11"/>
    </row>
    <row r="182" ht="12.75" customHeight="1">
      <c r="A182" s="11"/>
      <c r="B182" s="11"/>
    </row>
    <row r="183" ht="12.75" customHeight="1">
      <c r="A183" s="11"/>
      <c r="B183" s="11"/>
    </row>
    <row r="184" ht="12.75" customHeight="1">
      <c r="A184" s="11"/>
      <c r="B184" s="11"/>
    </row>
    <row r="185" ht="12.75" customHeight="1">
      <c r="A185" s="11"/>
      <c r="B185" s="11"/>
    </row>
    <row r="186" ht="12.75" customHeight="1">
      <c r="A186" s="11"/>
      <c r="B186" s="11"/>
    </row>
    <row r="187" ht="12.75" customHeight="1">
      <c r="A187" s="11"/>
      <c r="B187" s="11"/>
    </row>
    <row r="188" ht="12.75" customHeight="1">
      <c r="A188" s="11"/>
      <c r="B188" s="11"/>
    </row>
    <row r="189" ht="12.75" customHeight="1">
      <c r="A189" s="11"/>
      <c r="B189" s="11"/>
    </row>
    <row r="190" ht="12.75" customHeight="1">
      <c r="A190" s="11"/>
      <c r="B190" s="11"/>
    </row>
    <row r="191" ht="12.75" customHeight="1">
      <c r="A191" s="11"/>
      <c r="B191" s="11"/>
    </row>
    <row r="192" ht="12.75" customHeight="1">
      <c r="A192" s="11"/>
      <c r="B192" s="11"/>
    </row>
    <row r="193" ht="12.75" customHeight="1">
      <c r="A193" s="11"/>
      <c r="B193" s="11"/>
    </row>
    <row r="194" ht="12.75" customHeight="1">
      <c r="A194" s="11"/>
      <c r="B194" s="11"/>
    </row>
    <row r="195" ht="12.75" customHeight="1">
      <c r="A195" s="11"/>
      <c r="B195" s="11"/>
    </row>
    <row r="196" ht="12.75" customHeight="1">
      <c r="A196" s="11"/>
      <c r="B196" s="11"/>
    </row>
    <row r="197" ht="12.75" customHeight="1">
      <c r="A197" s="11"/>
      <c r="B197" s="11"/>
    </row>
    <row r="198" ht="12.75" customHeight="1">
      <c r="A198" s="11"/>
      <c r="B198" s="11"/>
    </row>
    <row r="199" ht="12.75" customHeight="1">
      <c r="A199" s="11"/>
      <c r="B199" s="11"/>
    </row>
    <row r="200" ht="12.75" customHeight="1">
      <c r="A200" s="11"/>
      <c r="B200" s="11"/>
    </row>
    <row r="201" ht="12.75" customHeight="1">
      <c r="A201" s="11"/>
      <c r="B201" s="11"/>
    </row>
    <row r="202" ht="12.75" customHeight="1">
      <c r="A202" s="11"/>
      <c r="B202" s="11"/>
    </row>
    <row r="203" ht="12.75" customHeight="1">
      <c r="A203" s="11"/>
      <c r="B203" s="11"/>
    </row>
    <row r="204" ht="12.75" customHeight="1">
      <c r="A204" s="11"/>
      <c r="B204" s="11"/>
    </row>
    <row r="205" ht="12.75" customHeight="1">
      <c r="A205" s="11"/>
      <c r="B205" s="11"/>
    </row>
    <row r="206" ht="12.75" customHeight="1">
      <c r="A206" s="11"/>
      <c r="B206" s="11"/>
    </row>
    <row r="207" ht="12.75" customHeight="1">
      <c r="A207" s="11"/>
      <c r="B207" s="11"/>
    </row>
    <row r="208" ht="12.75" customHeight="1">
      <c r="A208" s="11"/>
      <c r="B208" s="11"/>
    </row>
    <row r="209" ht="12.75" customHeight="1">
      <c r="A209" s="11"/>
      <c r="B209" s="11"/>
    </row>
    <row r="210" ht="12.75" customHeight="1">
      <c r="A210" s="11"/>
      <c r="B210" s="11"/>
    </row>
    <row r="211" ht="12.75" customHeight="1">
      <c r="A211" s="11"/>
      <c r="B211" s="11"/>
    </row>
    <row r="212" ht="12.75" customHeight="1">
      <c r="A212" s="11"/>
      <c r="B212" s="11"/>
    </row>
    <row r="213" ht="12.75" customHeight="1">
      <c r="A213" s="11"/>
      <c r="B213" s="11"/>
    </row>
    <row r="214" ht="12.75" customHeight="1">
      <c r="A214" s="11"/>
      <c r="B214" s="11"/>
    </row>
    <row r="215" ht="12.75" customHeight="1">
      <c r="A215" s="11"/>
      <c r="B215" s="11"/>
    </row>
    <row r="216" ht="12.75" customHeight="1">
      <c r="A216" s="11"/>
      <c r="B216" s="11"/>
    </row>
    <row r="217" ht="12.75" customHeight="1">
      <c r="A217" s="11"/>
      <c r="B217" s="11"/>
    </row>
    <row r="218" ht="12.75" customHeight="1">
      <c r="A218" s="11"/>
      <c r="B218" s="11"/>
    </row>
    <row r="219" ht="12.75" customHeight="1">
      <c r="A219" s="11"/>
      <c r="B219" s="11"/>
    </row>
    <row r="220" ht="12.75" customHeight="1">
      <c r="A220" s="11"/>
      <c r="B220" s="11"/>
    </row>
    <row r="221" ht="12.75" customHeight="1">
      <c r="A221" s="11"/>
      <c r="B221" s="11"/>
    </row>
    <row r="222" ht="12.75" customHeight="1">
      <c r="A222" s="11"/>
      <c r="B222" s="11"/>
    </row>
    <row r="223" ht="12.75" customHeight="1">
      <c r="A223" s="11"/>
      <c r="B223" s="11"/>
    </row>
    <row r="224" ht="12.75" customHeight="1">
      <c r="A224" s="11"/>
      <c r="B224" s="11"/>
    </row>
    <row r="225" ht="12.75" customHeight="1">
      <c r="A225" s="11"/>
      <c r="B225" s="11"/>
    </row>
    <row r="226" ht="12.75" customHeight="1">
      <c r="A226" s="11"/>
      <c r="B226" s="11"/>
    </row>
    <row r="227" ht="12.75" customHeight="1">
      <c r="A227" s="11"/>
      <c r="B227" s="11"/>
    </row>
    <row r="228" ht="12.75" customHeight="1">
      <c r="A228" s="11"/>
      <c r="B228" s="11"/>
    </row>
    <row r="229" ht="12.75" customHeight="1">
      <c r="A229" s="11"/>
      <c r="B229" s="11"/>
    </row>
    <row r="230" ht="12.75" customHeight="1">
      <c r="A230" s="11"/>
      <c r="B230" s="11"/>
    </row>
    <row r="231" ht="12.75" customHeight="1">
      <c r="A231" s="11"/>
      <c r="B231" s="11"/>
    </row>
    <row r="232" ht="12.75" customHeight="1">
      <c r="A232" s="11"/>
      <c r="B232" s="11"/>
    </row>
    <row r="233" ht="12.75" customHeight="1">
      <c r="A233" s="11"/>
      <c r="B233" s="11"/>
    </row>
    <row r="234" ht="12.75" customHeight="1">
      <c r="A234" s="11"/>
      <c r="B234" s="11"/>
    </row>
    <row r="235" ht="12.75" customHeight="1">
      <c r="A235" s="11"/>
      <c r="B235" s="11"/>
    </row>
    <row r="236" ht="12.75" customHeight="1">
      <c r="A236" s="11"/>
      <c r="B236" s="11"/>
    </row>
    <row r="237" ht="12.75" customHeight="1">
      <c r="A237" s="11"/>
      <c r="B237" s="11"/>
    </row>
    <row r="238" ht="12.75" customHeight="1">
      <c r="A238" s="11"/>
      <c r="B238" s="11"/>
    </row>
    <row r="239" ht="12.75" customHeight="1">
      <c r="A239" s="11"/>
      <c r="B239" s="11"/>
    </row>
    <row r="240" ht="12.75" customHeight="1">
      <c r="A240" s="11"/>
      <c r="B240" s="11"/>
    </row>
    <row r="241" ht="12.75" customHeight="1">
      <c r="A241" s="11"/>
      <c r="B241" s="11"/>
    </row>
    <row r="242" ht="12.75" customHeight="1">
      <c r="A242" s="11"/>
      <c r="B242" s="11"/>
    </row>
    <row r="243" ht="12.75" customHeight="1">
      <c r="A243" s="11"/>
      <c r="B243" s="11"/>
    </row>
    <row r="244" ht="12.75" customHeight="1">
      <c r="A244" s="11"/>
      <c r="B244" s="11"/>
    </row>
    <row r="245" ht="12.75" customHeight="1">
      <c r="A245" s="11"/>
      <c r="B245" s="11"/>
    </row>
    <row r="246" ht="12.75" customHeight="1">
      <c r="A246" s="11"/>
      <c r="B246" s="11"/>
    </row>
    <row r="247" ht="12.75" customHeight="1">
      <c r="A247" s="11"/>
      <c r="B247" s="11"/>
    </row>
    <row r="248" ht="12.75" customHeight="1">
      <c r="A248" s="11"/>
      <c r="B248" s="11"/>
    </row>
    <row r="249" ht="12.75" customHeight="1">
      <c r="A249" s="11"/>
      <c r="B249" s="11"/>
    </row>
    <row r="250" ht="12.75" customHeight="1">
      <c r="A250" s="11"/>
      <c r="B250" s="11"/>
    </row>
    <row r="251" ht="12.75" customHeight="1">
      <c r="A251" s="11"/>
      <c r="B251" s="11"/>
    </row>
    <row r="252" ht="12.75" customHeight="1">
      <c r="A252" s="11"/>
      <c r="B252" s="11"/>
    </row>
    <row r="253" ht="12.75" customHeight="1">
      <c r="A253" s="11"/>
      <c r="B253" s="11"/>
    </row>
    <row r="254" ht="12.75" customHeight="1">
      <c r="A254" s="11"/>
      <c r="B254" s="11"/>
    </row>
    <row r="255" ht="12.75" customHeight="1">
      <c r="A255" s="11"/>
      <c r="B255" s="11"/>
    </row>
    <row r="256" ht="12.75" customHeight="1">
      <c r="A256" s="11"/>
      <c r="B256" s="11"/>
    </row>
    <row r="257" ht="12.75" customHeight="1">
      <c r="A257" s="11"/>
      <c r="B257" s="11"/>
    </row>
    <row r="258" ht="12.75" customHeight="1">
      <c r="A258" s="11"/>
      <c r="B258" s="11"/>
    </row>
    <row r="259" ht="12.75" customHeight="1">
      <c r="A259" s="11"/>
      <c r="B259" s="11"/>
    </row>
    <row r="260" ht="12.75" customHeight="1">
      <c r="A260" s="11"/>
      <c r="B260" s="11"/>
    </row>
    <row r="261" ht="12.75" customHeight="1">
      <c r="A261" s="11"/>
      <c r="B261" s="11"/>
    </row>
    <row r="262" ht="12.75" customHeight="1">
      <c r="A262" s="11"/>
      <c r="B262" s="11"/>
    </row>
    <row r="263" ht="12.75" customHeight="1">
      <c r="A263" s="11"/>
      <c r="B263" s="11"/>
    </row>
    <row r="264" ht="12.75" customHeight="1">
      <c r="A264" s="11"/>
      <c r="B264" s="11"/>
    </row>
    <row r="265" ht="12.75" customHeight="1">
      <c r="A265" s="11"/>
      <c r="B265" s="11"/>
    </row>
    <row r="266" ht="12.75" customHeight="1">
      <c r="A266" s="11"/>
      <c r="B266" s="11"/>
    </row>
    <row r="267" ht="12.75" customHeight="1">
      <c r="A267" s="11"/>
      <c r="B267" s="11"/>
    </row>
    <row r="268" ht="12.75" customHeight="1">
      <c r="A268" s="11"/>
      <c r="B268" s="11"/>
    </row>
    <row r="269" ht="12.75" customHeight="1">
      <c r="A269" s="11"/>
      <c r="B269" s="11"/>
    </row>
    <row r="270" ht="12.75" customHeight="1">
      <c r="A270" s="11"/>
      <c r="B270" s="11"/>
    </row>
    <row r="271" ht="12.75" customHeight="1">
      <c r="A271" s="11"/>
      <c r="B271" s="11"/>
    </row>
    <row r="272" ht="12.75" customHeight="1">
      <c r="A272" s="11"/>
      <c r="B272" s="11"/>
    </row>
    <row r="273" ht="12.75" customHeight="1">
      <c r="A273" s="11"/>
      <c r="B273" s="11"/>
    </row>
    <row r="274" ht="12.75" customHeight="1">
      <c r="A274" s="11"/>
      <c r="B274" s="11"/>
    </row>
    <row r="275" ht="12.75" customHeight="1">
      <c r="A275" s="11"/>
      <c r="B275" s="11"/>
    </row>
    <row r="276" ht="12.75" customHeight="1">
      <c r="A276" s="11"/>
      <c r="B276" s="11"/>
    </row>
    <row r="277" ht="12.75" customHeight="1">
      <c r="A277" s="11"/>
      <c r="B277" s="11"/>
    </row>
    <row r="278" ht="12.75" customHeight="1">
      <c r="A278" s="11"/>
      <c r="B278" s="11"/>
    </row>
    <row r="279" ht="12.75" customHeight="1">
      <c r="A279" s="11"/>
      <c r="B279" s="11"/>
    </row>
    <row r="280" ht="12.75" customHeight="1">
      <c r="A280" s="11"/>
      <c r="B280" s="11"/>
    </row>
    <row r="281" ht="12.75" customHeight="1">
      <c r="A281" s="11"/>
      <c r="B281" s="11"/>
    </row>
    <row r="282" ht="12.75" customHeight="1">
      <c r="A282" s="11"/>
      <c r="B282" s="11"/>
    </row>
    <row r="283" ht="12.75" customHeight="1">
      <c r="A283" s="11"/>
      <c r="B283" s="11"/>
    </row>
    <row r="284" ht="12.75" customHeight="1">
      <c r="A284" s="11"/>
      <c r="B284" s="11"/>
    </row>
    <row r="285" ht="12.75" customHeight="1">
      <c r="A285" s="11"/>
      <c r="B285" s="11"/>
    </row>
    <row r="286" ht="12.75" customHeight="1">
      <c r="A286" s="11"/>
      <c r="B286" s="11"/>
    </row>
    <row r="287" ht="12.75" customHeight="1">
      <c r="A287" s="11"/>
      <c r="B287" s="11"/>
    </row>
    <row r="288" ht="12.75" customHeight="1">
      <c r="A288" s="11"/>
      <c r="B288" s="11"/>
    </row>
    <row r="289" ht="12.75" customHeight="1">
      <c r="A289" s="11"/>
      <c r="B289" s="11"/>
    </row>
    <row r="290" ht="12.75" customHeight="1">
      <c r="A290" s="11"/>
      <c r="B290" s="11"/>
    </row>
    <row r="291" ht="12.75" customHeight="1">
      <c r="A291" s="11"/>
      <c r="B291" s="11"/>
    </row>
    <row r="292" ht="12.75" customHeight="1">
      <c r="A292" s="11"/>
      <c r="B292" s="11"/>
    </row>
    <row r="293" ht="12.75" customHeight="1">
      <c r="A293" s="11"/>
      <c r="B293" s="11"/>
    </row>
    <row r="294" ht="12.75" customHeight="1">
      <c r="A294" s="11"/>
      <c r="B294" s="11"/>
    </row>
    <row r="295" ht="12.75" customHeight="1">
      <c r="A295" s="11"/>
      <c r="B295" s="11"/>
    </row>
    <row r="296" ht="12.75" customHeight="1">
      <c r="A296" s="11"/>
      <c r="B296" s="11"/>
    </row>
    <row r="297" ht="12.75" customHeight="1">
      <c r="A297" s="11"/>
      <c r="B297" s="11"/>
    </row>
    <row r="298" ht="12.75" customHeight="1">
      <c r="A298" s="11"/>
      <c r="B298" s="11"/>
    </row>
    <row r="299" ht="12.75" customHeight="1">
      <c r="A299" s="11"/>
      <c r="B299" s="11"/>
    </row>
    <row r="300" ht="12.75" customHeight="1">
      <c r="A300" s="11"/>
      <c r="B300" s="11"/>
    </row>
    <row r="301" ht="12.75" customHeight="1">
      <c r="A301" s="11"/>
      <c r="B301" s="11"/>
    </row>
    <row r="302" ht="12.75" customHeight="1">
      <c r="A302" s="11"/>
      <c r="B302" s="11"/>
    </row>
    <row r="303" ht="12.75" customHeight="1">
      <c r="A303" s="11"/>
      <c r="B303" s="11"/>
    </row>
    <row r="304" ht="12.75" customHeight="1">
      <c r="A304" s="11"/>
      <c r="B304" s="11"/>
    </row>
    <row r="305" ht="12.75" customHeight="1">
      <c r="A305" s="11"/>
      <c r="B305" s="11"/>
    </row>
    <row r="306" ht="12.75" customHeight="1">
      <c r="A306" s="11"/>
      <c r="B306" s="11"/>
    </row>
    <row r="307" ht="12.75" customHeight="1">
      <c r="A307" s="11"/>
      <c r="B307" s="11"/>
    </row>
    <row r="308" ht="12.75" customHeight="1">
      <c r="A308" s="11"/>
      <c r="B308" s="11"/>
    </row>
    <row r="309" ht="12.75" customHeight="1">
      <c r="A309" s="11"/>
      <c r="B309" s="11"/>
    </row>
    <row r="310" ht="12.75" customHeight="1">
      <c r="A310" s="11"/>
      <c r="B310" s="11"/>
    </row>
    <row r="311" ht="12.75" customHeight="1">
      <c r="A311" s="11"/>
      <c r="B311" s="11"/>
    </row>
    <row r="312" ht="12.75" customHeight="1">
      <c r="A312" s="11"/>
      <c r="B312" s="11"/>
    </row>
    <row r="313" ht="12.75" customHeight="1">
      <c r="A313" s="11"/>
      <c r="B313" s="11"/>
    </row>
    <row r="314" ht="12.75" customHeight="1">
      <c r="A314" s="11"/>
      <c r="B314" s="11"/>
    </row>
    <row r="315" ht="12.75" customHeight="1">
      <c r="A315" s="11"/>
      <c r="B315" s="11"/>
    </row>
    <row r="316" ht="12.75" customHeight="1">
      <c r="A316" s="11"/>
      <c r="B316" s="11"/>
    </row>
    <row r="317" ht="12.75" customHeight="1">
      <c r="A317" s="11"/>
      <c r="B317" s="11"/>
    </row>
    <row r="318" ht="12.75" customHeight="1">
      <c r="A318" s="11"/>
      <c r="B318" s="11"/>
    </row>
    <row r="319" ht="12.75" customHeight="1">
      <c r="A319" s="11"/>
      <c r="B319" s="11"/>
    </row>
    <row r="320" ht="12.75" customHeight="1">
      <c r="A320" s="11"/>
      <c r="B320" s="11"/>
    </row>
    <row r="321" ht="12.75" customHeight="1">
      <c r="A321" s="11"/>
      <c r="B321" s="11"/>
    </row>
    <row r="322" ht="12.75" customHeight="1">
      <c r="A322" s="11"/>
      <c r="B322" s="11"/>
    </row>
    <row r="323" ht="12.75" customHeight="1">
      <c r="A323" s="11"/>
      <c r="B323" s="11"/>
    </row>
    <row r="324" ht="12.75" customHeight="1">
      <c r="A324" s="11"/>
      <c r="B324" s="11"/>
    </row>
    <row r="325" ht="12.75" customHeight="1">
      <c r="A325" s="11"/>
      <c r="B325" s="11"/>
    </row>
    <row r="326" ht="12.75" customHeight="1">
      <c r="A326" s="11"/>
      <c r="B326" s="11"/>
    </row>
    <row r="327" ht="12.75" customHeight="1">
      <c r="A327" s="11"/>
      <c r="B327" s="11"/>
    </row>
    <row r="328" ht="12.75" customHeight="1">
      <c r="A328" s="11"/>
      <c r="B328" s="11"/>
    </row>
    <row r="329" ht="12.75" customHeight="1">
      <c r="A329" s="11"/>
      <c r="B329" s="11"/>
    </row>
    <row r="330" ht="12.75" customHeight="1">
      <c r="A330" s="11"/>
      <c r="B330" s="11"/>
    </row>
    <row r="331" ht="12.75" customHeight="1">
      <c r="A331" s="11"/>
      <c r="B331" s="11"/>
    </row>
    <row r="332" ht="12.75" customHeight="1">
      <c r="A332" s="11"/>
      <c r="B332" s="11"/>
    </row>
    <row r="333" ht="12.75" customHeight="1">
      <c r="A333" s="11"/>
      <c r="B333" s="11"/>
    </row>
    <row r="334" ht="12.75" customHeight="1">
      <c r="A334" s="11"/>
      <c r="B334" s="11"/>
    </row>
    <row r="335" ht="12.75" customHeight="1">
      <c r="A335" s="11"/>
      <c r="B335" s="11"/>
    </row>
    <row r="336" ht="12.75" customHeight="1">
      <c r="A336" s="11"/>
      <c r="B336" s="11"/>
    </row>
    <row r="337" ht="12.75" customHeight="1">
      <c r="A337" s="11"/>
      <c r="B337" s="11"/>
    </row>
    <row r="338" ht="12.75" customHeight="1">
      <c r="A338" s="11"/>
      <c r="B338" s="11"/>
    </row>
    <row r="339" ht="12.75" customHeight="1">
      <c r="A339" s="11"/>
      <c r="B339" s="11"/>
    </row>
    <row r="340" ht="12.75" customHeight="1">
      <c r="A340" s="11"/>
      <c r="B340" s="11"/>
    </row>
    <row r="341" ht="12.75" customHeight="1">
      <c r="A341" s="11"/>
      <c r="B341" s="11"/>
    </row>
    <row r="342" ht="12.75" customHeight="1">
      <c r="A342" s="11"/>
      <c r="B342" s="11"/>
    </row>
    <row r="343" ht="12.75" customHeight="1">
      <c r="A343" s="11"/>
      <c r="B343" s="11"/>
    </row>
    <row r="344" ht="12.75" customHeight="1">
      <c r="A344" s="11"/>
      <c r="B344" s="11"/>
    </row>
    <row r="345" ht="12.75" customHeight="1">
      <c r="A345" s="11"/>
      <c r="B345" s="11"/>
    </row>
    <row r="346" ht="12.75" customHeight="1">
      <c r="A346" s="11"/>
      <c r="B346" s="11"/>
    </row>
    <row r="347" ht="12.75" customHeight="1">
      <c r="A347" s="11"/>
      <c r="B347" s="11"/>
    </row>
    <row r="348" ht="12.75" customHeight="1">
      <c r="A348" s="11"/>
      <c r="B348" s="11"/>
    </row>
    <row r="349" ht="12.75" customHeight="1">
      <c r="A349" s="11"/>
      <c r="B349" s="11"/>
    </row>
    <row r="350" ht="12.75" customHeight="1">
      <c r="A350" s="11"/>
      <c r="B350" s="11"/>
    </row>
    <row r="351" ht="12.75" customHeight="1">
      <c r="A351" s="11"/>
      <c r="B351" s="11"/>
    </row>
    <row r="352" ht="12.75" customHeight="1">
      <c r="A352" s="11"/>
      <c r="B352" s="11"/>
    </row>
    <row r="353" ht="12.75" customHeight="1">
      <c r="A353" s="11"/>
      <c r="B353" s="11"/>
    </row>
    <row r="354" ht="12.75" customHeight="1">
      <c r="A354" s="11"/>
      <c r="B354" s="11"/>
    </row>
    <row r="355" ht="12.75" customHeight="1">
      <c r="A355" s="11"/>
      <c r="B355" s="11"/>
    </row>
    <row r="356" ht="12.75" customHeight="1">
      <c r="A356" s="11"/>
      <c r="B356" s="11"/>
    </row>
    <row r="357" ht="12.75" customHeight="1">
      <c r="A357" s="11"/>
      <c r="B357" s="11"/>
    </row>
    <row r="358" ht="12.75" customHeight="1">
      <c r="A358" s="11"/>
      <c r="B358" s="11"/>
    </row>
    <row r="359" ht="12.75" customHeight="1">
      <c r="A359" s="11"/>
      <c r="B359" s="11"/>
    </row>
    <row r="360" ht="12.75" customHeight="1">
      <c r="A360" s="11"/>
      <c r="B360" s="11"/>
    </row>
    <row r="361" ht="12.75" customHeight="1">
      <c r="A361" s="11"/>
      <c r="B361" s="11"/>
    </row>
    <row r="362" ht="12.75" customHeight="1">
      <c r="A362" s="11"/>
      <c r="B362" s="11"/>
    </row>
    <row r="363" ht="12.75" customHeight="1">
      <c r="A363" s="11"/>
      <c r="B363" s="11"/>
    </row>
    <row r="364" ht="12.75" customHeight="1">
      <c r="A364" s="11"/>
      <c r="B364" s="11"/>
    </row>
    <row r="365" ht="12.75" customHeight="1">
      <c r="A365" s="11"/>
      <c r="B365" s="11"/>
    </row>
    <row r="366" ht="12.75" customHeight="1">
      <c r="A366" s="11"/>
      <c r="B366" s="11"/>
    </row>
    <row r="367" ht="12.75" customHeight="1">
      <c r="A367" s="11"/>
      <c r="B367" s="11"/>
    </row>
    <row r="368" ht="12.75" customHeight="1">
      <c r="A368" s="11"/>
      <c r="B368" s="11"/>
    </row>
    <row r="369" ht="12.75" customHeight="1">
      <c r="A369" s="11"/>
      <c r="B369" s="11"/>
    </row>
    <row r="370" ht="12.75" customHeight="1">
      <c r="A370" s="11"/>
      <c r="B370" s="11"/>
    </row>
    <row r="371" ht="12.75" customHeight="1">
      <c r="A371" s="11"/>
      <c r="B371" s="11"/>
    </row>
    <row r="372" ht="12.75" customHeight="1">
      <c r="A372" s="11"/>
      <c r="B372" s="11"/>
    </row>
    <row r="373" ht="12.75" customHeight="1">
      <c r="A373" s="11"/>
      <c r="B373" s="11"/>
    </row>
    <row r="374" ht="12.75" customHeight="1">
      <c r="A374" s="11"/>
      <c r="B374" s="11"/>
    </row>
    <row r="375" ht="12.75" customHeight="1">
      <c r="A375" s="11"/>
      <c r="B375" s="11"/>
    </row>
    <row r="376" ht="12.75" customHeight="1">
      <c r="A376" s="11"/>
      <c r="B376" s="11"/>
    </row>
    <row r="377" ht="12.75" customHeight="1">
      <c r="A377" s="11"/>
      <c r="B377" s="11"/>
    </row>
    <row r="378" ht="12.75" customHeight="1">
      <c r="A378" s="11"/>
      <c r="B378" s="11"/>
    </row>
    <row r="379" ht="12.75" customHeight="1">
      <c r="A379" s="11"/>
      <c r="B379" s="11"/>
    </row>
    <row r="380" ht="12.75" customHeight="1">
      <c r="A380" s="11"/>
      <c r="B380" s="11"/>
    </row>
    <row r="381" ht="12.75" customHeight="1">
      <c r="A381" s="11"/>
      <c r="B381" s="11"/>
    </row>
    <row r="382" ht="12.75" customHeight="1">
      <c r="A382" s="11"/>
      <c r="B382" s="11"/>
    </row>
    <row r="383" ht="12.75" customHeight="1">
      <c r="A383" s="11"/>
      <c r="B383" s="11"/>
    </row>
    <row r="384" ht="12.75" customHeight="1">
      <c r="A384" s="11"/>
      <c r="B384" s="11"/>
    </row>
    <row r="385" ht="12.75" customHeight="1">
      <c r="A385" s="11"/>
      <c r="B385" s="11"/>
    </row>
    <row r="386" ht="12.75" customHeight="1">
      <c r="A386" s="11"/>
      <c r="B386" s="11"/>
    </row>
    <row r="387" ht="12.75" customHeight="1">
      <c r="A387" s="11"/>
      <c r="B387" s="11"/>
    </row>
    <row r="388" ht="12.75" customHeight="1">
      <c r="A388" s="11"/>
      <c r="B388" s="11"/>
    </row>
    <row r="389" ht="12.75" customHeight="1">
      <c r="A389" s="11"/>
      <c r="B389" s="11"/>
    </row>
    <row r="390" ht="12.75" customHeight="1">
      <c r="A390" s="11"/>
      <c r="B390" s="11"/>
    </row>
    <row r="391" ht="12.75" customHeight="1">
      <c r="A391" s="11"/>
      <c r="B391" s="11"/>
    </row>
    <row r="392" ht="12.75" customHeight="1">
      <c r="A392" s="11"/>
      <c r="B392" s="11"/>
    </row>
    <row r="393" ht="12.75" customHeight="1">
      <c r="A393" s="11"/>
      <c r="B393" s="11"/>
    </row>
    <row r="394" ht="12.75" customHeight="1">
      <c r="A394" s="11"/>
      <c r="B394" s="11"/>
    </row>
    <row r="395" ht="12.75" customHeight="1">
      <c r="A395" s="11"/>
      <c r="B395" s="11"/>
    </row>
    <row r="396" ht="12.75" customHeight="1">
      <c r="A396" s="11"/>
      <c r="B396" s="11"/>
    </row>
    <row r="397" ht="12.75" customHeight="1">
      <c r="A397" s="11"/>
      <c r="B397" s="11"/>
    </row>
    <row r="398" ht="12.75" customHeight="1">
      <c r="A398" s="11"/>
      <c r="B398" s="11"/>
    </row>
    <row r="399" ht="12.75" customHeight="1">
      <c r="A399" s="11"/>
      <c r="B399" s="11"/>
    </row>
    <row r="400" ht="12.75" customHeight="1">
      <c r="A400" s="11"/>
      <c r="B400" s="11"/>
    </row>
    <row r="401" ht="12.75" customHeight="1">
      <c r="A401" s="11"/>
      <c r="B401" s="11"/>
    </row>
    <row r="402" ht="12.75" customHeight="1">
      <c r="A402" s="11"/>
      <c r="B402" s="11"/>
    </row>
    <row r="403" ht="12.75" customHeight="1">
      <c r="A403" s="11"/>
      <c r="B403" s="11"/>
    </row>
    <row r="404" ht="12.75" customHeight="1">
      <c r="A404" s="11"/>
      <c r="B404" s="11"/>
    </row>
    <row r="405" ht="12.75" customHeight="1">
      <c r="A405" s="11"/>
      <c r="B405" s="11"/>
    </row>
    <row r="406" ht="12.75" customHeight="1">
      <c r="A406" s="11"/>
      <c r="B406" s="11"/>
    </row>
    <row r="407" ht="12.75" customHeight="1">
      <c r="A407" s="11"/>
      <c r="B407" s="11"/>
    </row>
    <row r="408" ht="12.75" customHeight="1">
      <c r="A408" s="11"/>
      <c r="B408" s="11"/>
    </row>
    <row r="409" ht="12.75" customHeight="1">
      <c r="A409" s="11"/>
      <c r="B409" s="11"/>
    </row>
    <row r="410" ht="12.75" customHeight="1">
      <c r="A410" s="11"/>
      <c r="B410" s="11"/>
    </row>
    <row r="411" ht="12.75" customHeight="1">
      <c r="A411" s="11"/>
      <c r="B411" s="11"/>
    </row>
    <row r="412" ht="12.75" customHeight="1">
      <c r="A412" s="11"/>
      <c r="B412" s="11"/>
    </row>
    <row r="413" ht="12.75" customHeight="1">
      <c r="A413" s="11"/>
      <c r="B413" s="11"/>
    </row>
    <row r="414" ht="12.75" customHeight="1">
      <c r="A414" s="11"/>
      <c r="B414" s="11"/>
    </row>
    <row r="415" ht="12.75" customHeight="1">
      <c r="A415" s="11"/>
      <c r="B415" s="11"/>
    </row>
    <row r="416" ht="12.75" customHeight="1">
      <c r="A416" s="11"/>
      <c r="B416" s="11"/>
    </row>
    <row r="417" ht="12.75" customHeight="1">
      <c r="A417" s="11"/>
      <c r="B417" s="11"/>
    </row>
    <row r="418" ht="12.75" customHeight="1">
      <c r="A418" s="11"/>
      <c r="B418" s="11"/>
    </row>
    <row r="419" ht="12.75" customHeight="1">
      <c r="A419" s="11"/>
      <c r="B419" s="11"/>
    </row>
    <row r="420" ht="12.75" customHeight="1">
      <c r="A420" s="11"/>
      <c r="B420" s="11"/>
    </row>
    <row r="421" ht="12.75" customHeight="1">
      <c r="A421" s="11"/>
      <c r="B421" s="11"/>
    </row>
    <row r="422" ht="12.75" customHeight="1">
      <c r="A422" s="11"/>
      <c r="B422" s="11"/>
    </row>
    <row r="423" ht="12.75" customHeight="1">
      <c r="A423" s="11"/>
      <c r="B423" s="11"/>
    </row>
    <row r="424" ht="12.75" customHeight="1">
      <c r="A424" s="11"/>
      <c r="B424" s="11"/>
    </row>
    <row r="425" ht="12.75" customHeight="1">
      <c r="A425" s="11"/>
      <c r="B425" s="11"/>
    </row>
    <row r="426" ht="12.75" customHeight="1">
      <c r="A426" s="11"/>
      <c r="B426" s="11"/>
    </row>
    <row r="427" ht="12.75" customHeight="1">
      <c r="A427" s="11"/>
      <c r="B427" s="11"/>
    </row>
    <row r="428" ht="12.75" customHeight="1">
      <c r="A428" s="11"/>
      <c r="B428" s="11"/>
    </row>
    <row r="429" ht="12.75" customHeight="1">
      <c r="A429" s="11"/>
      <c r="B429" s="11"/>
    </row>
    <row r="430" ht="12.75" customHeight="1">
      <c r="A430" s="11"/>
      <c r="B430" s="11"/>
    </row>
    <row r="431" ht="12.75" customHeight="1">
      <c r="A431" s="11"/>
      <c r="B431" s="11"/>
    </row>
    <row r="432" ht="12.75" customHeight="1">
      <c r="A432" s="11"/>
      <c r="B432" s="11"/>
    </row>
    <row r="433" ht="12.75" customHeight="1">
      <c r="A433" s="11"/>
      <c r="B433" s="11"/>
    </row>
    <row r="434" ht="12.75" customHeight="1">
      <c r="A434" s="11"/>
      <c r="B434" s="11"/>
    </row>
    <row r="435" ht="12.75" customHeight="1">
      <c r="A435" s="11"/>
      <c r="B435" s="11"/>
    </row>
    <row r="436" ht="12.75" customHeight="1">
      <c r="A436" s="11"/>
      <c r="B436" s="11"/>
    </row>
    <row r="437" ht="12.75" customHeight="1">
      <c r="A437" s="11"/>
      <c r="B437" s="11"/>
    </row>
    <row r="438" ht="12.75" customHeight="1">
      <c r="A438" s="11"/>
      <c r="B438" s="11"/>
    </row>
    <row r="439" ht="12.75" customHeight="1">
      <c r="A439" s="11"/>
      <c r="B439" s="11"/>
    </row>
    <row r="440" ht="12.75" customHeight="1">
      <c r="A440" s="11"/>
      <c r="B440" s="11"/>
    </row>
    <row r="441" ht="12.75" customHeight="1">
      <c r="A441" s="11"/>
      <c r="B441" s="11"/>
    </row>
    <row r="442" ht="12.75" customHeight="1">
      <c r="A442" s="11"/>
      <c r="B442" s="11"/>
    </row>
    <row r="443" ht="12.75" customHeight="1">
      <c r="A443" s="11"/>
      <c r="B443" s="11"/>
    </row>
    <row r="444" ht="12.75" customHeight="1">
      <c r="A444" s="11"/>
      <c r="B444" s="11"/>
    </row>
    <row r="445" ht="12.75" customHeight="1">
      <c r="A445" s="11"/>
      <c r="B445" s="11"/>
    </row>
    <row r="446" ht="12.75" customHeight="1">
      <c r="A446" s="11"/>
      <c r="B446" s="11"/>
    </row>
    <row r="447" ht="12.75" customHeight="1">
      <c r="A447" s="11"/>
      <c r="B447" s="11"/>
    </row>
    <row r="448" ht="12.75" customHeight="1">
      <c r="A448" s="11"/>
      <c r="B448" s="11"/>
    </row>
    <row r="449" ht="12.75" customHeight="1">
      <c r="A449" s="11"/>
      <c r="B449" s="11"/>
    </row>
    <row r="450" ht="12.75" customHeight="1">
      <c r="A450" s="11"/>
      <c r="B450" s="11"/>
    </row>
    <row r="451" ht="12.75" customHeight="1">
      <c r="A451" s="11"/>
      <c r="B451" s="11"/>
    </row>
    <row r="452" ht="12.75" customHeight="1">
      <c r="A452" s="11"/>
      <c r="B452" s="11"/>
    </row>
    <row r="453" ht="12.75" customHeight="1">
      <c r="A453" s="11"/>
      <c r="B453" s="11"/>
    </row>
    <row r="454" ht="12.75" customHeight="1">
      <c r="A454" s="11"/>
      <c r="B454" s="11"/>
    </row>
    <row r="455" ht="12.75" customHeight="1">
      <c r="A455" s="11"/>
      <c r="B455" s="11"/>
    </row>
    <row r="456" ht="12.75" customHeight="1">
      <c r="A456" s="11"/>
      <c r="B456" s="11"/>
    </row>
    <row r="457" ht="12.75" customHeight="1">
      <c r="A457" s="11"/>
      <c r="B457" s="11"/>
    </row>
    <row r="458" ht="12.75" customHeight="1">
      <c r="A458" s="11"/>
      <c r="B458" s="11"/>
    </row>
    <row r="459" ht="12.75" customHeight="1">
      <c r="A459" s="11"/>
      <c r="B459" s="11"/>
    </row>
    <row r="460" ht="12.75" customHeight="1">
      <c r="A460" s="11"/>
      <c r="B460" s="11"/>
    </row>
    <row r="461" ht="12.75" customHeight="1">
      <c r="A461" s="11"/>
      <c r="B461" s="11"/>
    </row>
    <row r="462" ht="12.75" customHeight="1">
      <c r="A462" s="11"/>
      <c r="B462" s="11"/>
    </row>
    <row r="463" ht="12.75" customHeight="1">
      <c r="A463" s="11"/>
      <c r="B463" s="11"/>
    </row>
    <row r="464" ht="12.75" customHeight="1">
      <c r="A464" s="11"/>
      <c r="B464" s="11"/>
    </row>
    <row r="465" ht="12.75" customHeight="1">
      <c r="A465" s="11"/>
      <c r="B465" s="11"/>
    </row>
    <row r="466" ht="12.75" customHeight="1">
      <c r="A466" s="11"/>
      <c r="B466" s="11"/>
    </row>
    <row r="467" ht="12.75" customHeight="1">
      <c r="A467" s="11"/>
      <c r="B467" s="11"/>
    </row>
    <row r="468" ht="12.75" customHeight="1">
      <c r="A468" s="11"/>
      <c r="B468" s="11"/>
    </row>
    <row r="469" ht="12.75" customHeight="1">
      <c r="A469" s="11"/>
      <c r="B469" s="11"/>
    </row>
    <row r="470" ht="12.75" customHeight="1">
      <c r="A470" s="11"/>
      <c r="B470" s="11"/>
    </row>
    <row r="471" ht="12.75" customHeight="1">
      <c r="A471" s="11"/>
      <c r="B471" s="11"/>
    </row>
    <row r="472" ht="12.75" customHeight="1">
      <c r="A472" s="11"/>
      <c r="B472" s="11"/>
    </row>
    <row r="473" ht="12.75" customHeight="1">
      <c r="A473" s="11"/>
      <c r="B473" s="11"/>
    </row>
    <row r="474" ht="12.75" customHeight="1">
      <c r="A474" s="11"/>
      <c r="B474" s="11"/>
    </row>
    <row r="475" ht="12.75" customHeight="1">
      <c r="A475" s="11"/>
      <c r="B475" s="11"/>
    </row>
    <row r="476" ht="12.75" customHeight="1">
      <c r="A476" s="11"/>
      <c r="B476" s="11"/>
    </row>
    <row r="477" ht="12.75" customHeight="1">
      <c r="A477" s="11"/>
      <c r="B477" s="11"/>
    </row>
    <row r="478" ht="12.75" customHeight="1">
      <c r="A478" s="11"/>
      <c r="B478" s="11"/>
    </row>
    <row r="479" ht="12.75" customHeight="1">
      <c r="A479" s="11"/>
      <c r="B479" s="11"/>
    </row>
    <row r="480" ht="12.75" customHeight="1">
      <c r="A480" s="11"/>
      <c r="B480" s="11"/>
    </row>
    <row r="481" ht="12.75" customHeight="1">
      <c r="A481" s="11"/>
      <c r="B481" s="11"/>
    </row>
    <row r="482" ht="12.75" customHeight="1">
      <c r="A482" s="11"/>
      <c r="B482" s="11"/>
    </row>
    <row r="483" ht="12.75" customHeight="1">
      <c r="A483" s="11"/>
      <c r="B483" s="11"/>
    </row>
    <row r="484" ht="12.75" customHeight="1">
      <c r="A484" s="11"/>
      <c r="B484" s="11"/>
    </row>
    <row r="485" ht="12.75" customHeight="1">
      <c r="A485" s="11"/>
      <c r="B485" s="11"/>
    </row>
    <row r="486" ht="12.75" customHeight="1">
      <c r="A486" s="11"/>
      <c r="B486" s="11"/>
    </row>
    <row r="487" ht="12.75" customHeight="1">
      <c r="A487" s="11"/>
      <c r="B487" s="11"/>
    </row>
    <row r="488" ht="12.75" customHeight="1">
      <c r="A488" s="11"/>
      <c r="B488" s="11"/>
    </row>
    <row r="489" ht="12.75" customHeight="1">
      <c r="A489" s="11"/>
      <c r="B489" s="11"/>
    </row>
    <row r="490" ht="12.75" customHeight="1">
      <c r="A490" s="11"/>
      <c r="B490" s="11"/>
    </row>
    <row r="491" ht="12.75" customHeight="1">
      <c r="A491" s="11"/>
      <c r="B491" s="11"/>
    </row>
    <row r="492" ht="12.75" customHeight="1">
      <c r="A492" s="11"/>
      <c r="B492" s="11"/>
    </row>
    <row r="493" ht="12.75" customHeight="1">
      <c r="A493" s="11"/>
      <c r="B493" s="11"/>
    </row>
    <row r="494" ht="12.75" customHeight="1">
      <c r="A494" s="11"/>
      <c r="B494" s="11"/>
    </row>
    <row r="495" ht="12.75" customHeight="1">
      <c r="A495" s="11"/>
      <c r="B495" s="11"/>
    </row>
    <row r="496" ht="12.75" customHeight="1">
      <c r="A496" s="11"/>
      <c r="B496" s="11"/>
    </row>
    <row r="497" ht="12.75" customHeight="1">
      <c r="A497" s="11"/>
      <c r="B497" s="11"/>
    </row>
    <row r="498" ht="12.75" customHeight="1">
      <c r="A498" s="11"/>
      <c r="B498" s="11"/>
    </row>
    <row r="499" ht="12.75" customHeight="1">
      <c r="A499" s="11"/>
      <c r="B499" s="11"/>
    </row>
    <row r="500" ht="12.75" customHeight="1">
      <c r="A500" s="11"/>
      <c r="B500" s="11"/>
    </row>
    <row r="501" ht="12.75" customHeight="1">
      <c r="A501" s="11"/>
      <c r="B501" s="11"/>
    </row>
    <row r="502" ht="12.75" customHeight="1">
      <c r="A502" s="11"/>
      <c r="B502" s="11"/>
    </row>
    <row r="503" ht="12.75" customHeight="1">
      <c r="A503" s="11"/>
      <c r="B503" s="11"/>
    </row>
    <row r="504" ht="12.75" customHeight="1">
      <c r="A504" s="11"/>
      <c r="B504" s="11"/>
    </row>
    <row r="505" ht="12.75" customHeight="1">
      <c r="A505" s="11"/>
      <c r="B505" s="11"/>
    </row>
    <row r="506" ht="12.75" customHeight="1">
      <c r="A506" s="11"/>
      <c r="B506" s="11"/>
    </row>
    <row r="507" ht="12.75" customHeight="1">
      <c r="A507" s="11"/>
      <c r="B507" s="11"/>
    </row>
    <row r="508" ht="12.75" customHeight="1">
      <c r="A508" s="11"/>
      <c r="B508" s="11"/>
    </row>
    <row r="509" ht="12.75" customHeight="1">
      <c r="A509" s="11"/>
      <c r="B509" s="11"/>
    </row>
    <row r="510" ht="12.75" customHeight="1">
      <c r="A510" s="11"/>
      <c r="B510" s="11"/>
    </row>
    <row r="511" ht="12.75" customHeight="1">
      <c r="A511" s="11"/>
      <c r="B511" s="11"/>
    </row>
    <row r="512" ht="12.75" customHeight="1">
      <c r="A512" s="11"/>
      <c r="B512" s="11"/>
    </row>
    <row r="513" ht="12.75" customHeight="1">
      <c r="A513" s="11"/>
      <c r="B513" s="11"/>
    </row>
    <row r="514" ht="12.75" customHeight="1">
      <c r="A514" s="11"/>
      <c r="B514" s="11"/>
    </row>
    <row r="515" ht="12.75" customHeight="1">
      <c r="A515" s="11"/>
      <c r="B515" s="11"/>
    </row>
    <row r="516" ht="12.75" customHeight="1">
      <c r="A516" s="11"/>
      <c r="B516" s="11"/>
    </row>
    <row r="517" ht="12.75" customHeight="1">
      <c r="A517" s="11"/>
      <c r="B517" s="11"/>
    </row>
    <row r="518" ht="12.75" customHeight="1">
      <c r="A518" s="11"/>
      <c r="B518" s="11"/>
    </row>
    <row r="519" ht="12.75" customHeight="1">
      <c r="A519" s="11"/>
      <c r="B519" s="11"/>
    </row>
    <row r="520" ht="12.75" customHeight="1">
      <c r="A520" s="11"/>
      <c r="B520" s="11"/>
    </row>
    <row r="521" ht="12.75" customHeight="1">
      <c r="A521" s="11"/>
      <c r="B521" s="11"/>
    </row>
    <row r="522" ht="12.75" customHeight="1">
      <c r="A522" s="11"/>
      <c r="B522" s="11"/>
    </row>
    <row r="523" ht="12.75" customHeight="1">
      <c r="A523" s="11"/>
      <c r="B523" s="11"/>
    </row>
    <row r="524" ht="12.75" customHeight="1">
      <c r="A524" s="11"/>
      <c r="B524" s="11"/>
    </row>
    <row r="525" ht="12.75" customHeight="1">
      <c r="A525" s="11"/>
      <c r="B525" s="11"/>
    </row>
    <row r="526" ht="12.75" customHeight="1">
      <c r="A526" s="11"/>
      <c r="B526" s="11"/>
    </row>
    <row r="527" ht="12.75" customHeight="1">
      <c r="A527" s="11"/>
      <c r="B527" s="11"/>
    </row>
    <row r="528" ht="12.75" customHeight="1">
      <c r="A528" s="11"/>
      <c r="B528" s="11"/>
    </row>
    <row r="529" ht="12.75" customHeight="1">
      <c r="A529" s="11"/>
      <c r="B529" s="11"/>
    </row>
    <row r="530" ht="12.75" customHeight="1">
      <c r="A530" s="11"/>
      <c r="B530" s="11"/>
    </row>
    <row r="531" ht="12.75" customHeight="1">
      <c r="A531" s="11"/>
      <c r="B531" s="11"/>
    </row>
    <row r="532" ht="12.75" customHeight="1">
      <c r="A532" s="11"/>
      <c r="B532" s="11"/>
    </row>
    <row r="533" ht="12.75" customHeight="1">
      <c r="A533" s="11"/>
      <c r="B533" s="11"/>
    </row>
    <row r="534" ht="12.75" customHeight="1">
      <c r="A534" s="11"/>
      <c r="B534" s="11"/>
    </row>
    <row r="535" ht="12.75" customHeight="1">
      <c r="A535" s="11"/>
      <c r="B535" s="11"/>
    </row>
    <row r="536" ht="12.75" customHeight="1">
      <c r="A536" s="11"/>
      <c r="B536" s="11"/>
    </row>
    <row r="537" ht="12.75" customHeight="1">
      <c r="A537" s="11"/>
      <c r="B537" s="11"/>
    </row>
    <row r="538" ht="12.75" customHeight="1">
      <c r="A538" s="11"/>
      <c r="B538" s="11"/>
    </row>
    <row r="539" ht="12.75" customHeight="1">
      <c r="A539" s="11"/>
      <c r="B539" s="11"/>
    </row>
    <row r="540" ht="12.75" customHeight="1">
      <c r="A540" s="11"/>
      <c r="B540" s="11"/>
    </row>
    <row r="541" ht="12.75" customHeight="1">
      <c r="A541" s="11"/>
      <c r="B541" s="11"/>
    </row>
    <row r="542" ht="12.75" customHeight="1">
      <c r="A542" s="11"/>
      <c r="B542" s="11"/>
    </row>
    <row r="543" ht="12.75" customHeight="1">
      <c r="A543" s="11"/>
      <c r="B543" s="11"/>
    </row>
    <row r="544" ht="12.75" customHeight="1">
      <c r="A544" s="11"/>
      <c r="B544" s="11"/>
    </row>
    <row r="545" ht="12.75" customHeight="1">
      <c r="A545" s="11"/>
      <c r="B545" s="11"/>
    </row>
    <row r="546" ht="12.75" customHeight="1">
      <c r="A546" s="11"/>
      <c r="B546" s="11"/>
    </row>
    <row r="547" ht="12.75" customHeight="1">
      <c r="A547" s="11"/>
      <c r="B547" s="11"/>
    </row>
    <row r="548" ht="12.75" customHeight="1">
      <c r="A548" s="11"/>
      <c r="B548" s="11"/>
    </row>
    <row r="549" ht="12.75" customHeight="1">
      <c r="A549" s="11"/>
      <c r="B549" s="11"/>
    </row>
    <row r="550" ht="12.75" customHeight="1">
      <c r="A550" s="11"/>
      <c r="B550" s="11"/>
    </row>
    <row r="551" ht="12.75" customHeight="1">
      <c r="A551" s="11"/>
      <c r="B551" s="11"/>
    </row>
    <row r="552" ht="12.75" customHeight="1">
      <c r="A552" s="11"/>
      <c r="B552" s="11"/>
    </row>
    <row r="553" ht="12.75" customHeight="1">
      <c r="A553" s="11"/>
      <c r="B553" s="11"/>
    </row>
    <row r="554" ht="12.75" customHeight="1">
      <c r="A554" s="11"/>
      <c r="B554" s="11"/>
    </row>
    <row r="555" ht="12.75" customHeight="1">
      <c r="A555" s="11"/>
      <c r="B555" s="11"/>
    </row>
    <row r="556" ht="12.75" customHeight="1">
      <c r="A556" s="11"/>
      <c r="B556" s="11"/>
    </row>
    <row r="557" ht="12.75" customHeight="1">
      <c r="A557" s="11"/>
      <c r="B557" s="11"/>
    </row>
    <row r="558" ht="12.75" customHeight="1">
      <c r="A558" s="11"/>
      <c r="B558" s="11"/>
    </row>
    <row r="559" ht="12.75" customHeight="1">
      <c r="A559" s="11"/>
      <c r="B559" s="11"/>
    </row>
    <row r="560" ht="12.75" customHeight="1">
      <c r="A560" s="11"/>
      <c r="B560" s="11"/>
    </row>
    <row r="561" ht="12.75" customHeight="1">
      <c r="A561" s="11"/>
      <c r="B561" s="11"/>
    </row>
    <row r="562" ht="12.75" customHeight="1">
      <c r="A562" s="11"/>
      <c r="B562" s="11"/>
    </row>
    <row r="563" ht="12.75" customHeight="1">
      <c r="A563" s="11"/>
      <c r="B563" s="11"/>
    </row>
    <row r="564" ht="12.75" customHeight="1">
      <c r="A564" s="11"/>
      <c r="B564" s="11"/>
    </row>
    <row r="565" ht="12.75" customHeight="1">
      <c r="A565" s="11"/>
      <c r="B565" s="11"/>
    </row>
    <row r="566" ht="12.75" customHeight="1">
      <c r="A566" s="11"/>
      <c r="B566" s="11"/>
    </row>
    <row r="567" ht="12.75" customHeight="1">
      <c r="A567" s="11"/>
      <c r="B567" s="11"/>
    </row>
    <row r="568" ht="12.75" customHeight="1">
      <c r="A568" s="11"/>
      <c r="B568" s="11"/>
    </row>
    <row r="569" ht="12.75" customHeight="1">
      <c r="A569" s="11"/>
      <c r="B569" s="11"/>
    </row>
    <row r="570" ht="12.75" customHeight="1">
      <c r="A570" s="11"/>
      <c r="B570" s="11"/>
    </row>
    <row r="571" ht="12.75" customHeight="1">
      <c r="A571" s="11"/>
      <c r="B571" s="11"/>
    </row>
    <row r="572" ht="12.75" customHeight="1">
      <c r="A572" s="11"/>
      <c r="B572" s="11"/>
    </row>
    <row r="573" ht="12.75" customHeight="1">
      <c r="A573" s="11"/>
      <c r="B573" s="11"/>
    </row>
    <row r="574" ht="12.75" customHeight="1">
      <c r="A574" s="11"/>
      <c r="B574" s="11"/>
    </row>
    <row r="575" ht="12.75" customHeight="1">
      <c r="A575" s="11"/>
      <c r="B575" s="11"/>
    </row>
    <row r="576" ht="12.75" customHeight="1">
      <c r="A576" s="11"/>
      <c r="B576" s="11"/>
    </row>
    <row r="577" ht="12.75" customHeight="1">
      <c r="A577" s="11"/>
      <c r="B577" s="11"/>
    </row>
    <row r="578" ht="12.75" customHeight="1">
      <c r="A578" s="11"/>
      <c r="B578" s="11"/>
    </row>
    <row r="579" ht="12.75" customHeight="1">
      <c r="A579" s="11"/>
      <c r="B579" s="11"/>
    </row>
    <row r="580" ht="12.75" customHeight="1">
      <c r="A580" s="11"/>
      <c r="B580" s="11"/>
    </row>
    <row r="581" ht="12.75" customHeight="1">
      <c r="A581" s="11"/>
      <c r="B581" s="11"/>
    </row>
    <row r="582" ht="12.75" customHeight="1">
      <c r="A582" s="11"/>
      <c r="B582" s="11"/>
    </row>
    <row r="583" ht="12.75" customHeight="1">
      <c r="A583" s="11"/>
      <c r="B583" s="11"/>
    </row>
    <row r="584" ht="12.75" customHeight="1">
      <c r="A584" s="11"/>
      <c r="B584" s="11"/>
    </row>
    <row r="585" ht="12.75" customHeight="1">
      <c r="A585" s="11"/>
      <c r="B585" s="11"/>
    </row>
    <row r="586" ht="12.75" customHeight="1">
      <c r="A586" s="11"/>
      <c r="B586" s="11"/>
    </row>
    <row r="587" ht="12.75" customHeight="1">
      <c r="A587" s="11"/>
      <c r="B587" s="11"/>
    </row>
    <row r="588" ht="12.75" customHeight="1">
      <c r="A588" s="11"/>
      <c r="B588" s="11"/>
    </row>
    <row r="589" ht="12.75" customHeight="1">
      <c r="A589" s="11"/>
      <c r="B589" s="11"/>
    </row>
    <row r="590" ht="12.75" customHeight="1">
      <c r="A590" s="11"/>
      <c r="B590" s="11"/>
    </row>
    <row r="591" ht="12.75" customHeight="1">
      <c r="A591" s="11"/>
      <c r="B591" s="11"/>
    </row>
    <row r="592" ht="12.75" customHeight="1">
      <c r="A592" s="11"/>
      <c r="B592" s="11"/>
    </row>
    <row r="593" ht="12.75" customHeight="1">
      <c r="A593" s="11"/>
      <c r="B593" s="11"/>
    </row>
    <row r="594" ht="12.75" customHeight="1">
      <c r="A594" s="11"/>
      <c r="B594" s="11"/>
    </row>
    <row r="595" ht="12.75" customHeight="1">
      <c r="A595" s="11"/>
      <c r="B595" s="11"/>
    </row>
    <row r="596" ht="12.75" customHeight="1">
      <c r="A596" s="11"/>
      <c r="B596" s="11"/>
    </row>
    <row r="597" ht="12.75" customHeight="1">
      <c r="A597" s="11"/>
      <c r="B597" s="11"/>
    </row>
    <row r="598" ht="12.75" customHeight="1">
      <c r="A598" s="11"/>
      <c r="B598" s="11"/>
    </row>
    <row r="599" ht="12.75" customHeight="1">
      <c r="A599" s="11"/>
      <c r="B599" s="11"/>
    </row>
    <row r="600" ht="12.75" customHeight="1">
      <c r="A600" s="11"/>
      <c r="B600" s="11"/>
    </row>
    <row r="601" ht="12.75" customHeight="1">
      <c r="A601" s="11"/>
      <c r="B601" s="11"/>
    </row>
    <row r="602" ht="12.75" customHeight="1">
      <c r="A602" s="11"/>
      <c r="B602" s="11"/>
    </row>
    <row r="603" ht="12.75" customHeight="1">
      <c r="A603" s="11"/>
      <c r="B603" s="11"/>
    </row>
    <row r="604" ht="12.75" customHeight="1">
      <c r="A604" s="11"/>
      <c r="B604" s="11"/>
    </row>
    <row r="605" ht="12.75" customHeight="1">
      <c r="A605" s="11"/>
      <c r="B605" s="11"/>
    </row>
    <row r="606" ht="12.75" customHeight="1">
      <c r="A606" s="11"/>
      <c r="B606" s="11"/>
    </row>
    <row r="607" ht="12.75" customHeight="1">
      <c r="A607" s="11"/>
      <c r="B607" s="11"/>
    </row>
    <row r="608" ht="12.75" customHeight="1">
      <c r="A608" s="11"/>
      <c r="B608" s="11"/>
    </row>
    <row r="609" ht="12.75" customHeight="1">
      <c r="A609" s="11"/>
      <c r="B609" s="11"/>
    </row>
    <row r="610" ht="12.75" customHeight="1">
      <c r="A610" s="11"/>
      <c r="B610" s="11"/>
    </row>
    <row r="611" ht="12.75" customHeight="1">
      <c r="A611" s="11"/>
      <c r="B611" s="11"/>
    </row>
    <row r="612" ht="12.75" customHeight="1">
      <c r="A612" s="11"/>
      <c r="B612" s="11"/>
    </row>
    <row r="613" ht="12.75" customHeight="1">
      <c r="A613" s="11"/>
      <c r="B613" s="11"/>
    </row>
    <row r="614" ht="12.75" customHeight="1">
      <c r="A614" s="11"/>
      <c r="B614" s="11"/>
    </row>
    <row r="615" ht="12.75" customHeight="1">
      <c r="A615" s="11"/>
      <c r="B615" s="11"/>
    </row>
    <row r="616" ht="12.75" customHeight="1">
      <c r="A616" s="11"/>
      <c r="B616" s="11"/>
    </row>
    <row r="617" ht="12.75" customHeight="1">
      <c r="A617" s="11"/>
      <c r="B617" s="11"/>
    </row>
    <row r="618" ht="12.75" customHeight="1">
      <c r="A618" s="11"/>
      <c r="B618" s="11"/>
    </row>
    <row r="619" ht="12.75" customHeight="1">
      <c r="A619" s="11"/>
      <c r="B619" s="11"/>
    </row>
    <row r="620" ht="12.75" customHeight="1">
      <c r="A620" s="11"/>
      <c r="B620" s="11"/>
    </row>
    <row r="621" ht="12.75" customHeight="1">
      <c r="A621" s="11"/>
      <c r="B621" s="11"/>
    </row>
    <row r="622" ht="12.75" customHeight="1">
      <c r="A622" s="11"/>
      <c r="B622" s="11"/>
    </row>
    <row r="623" ht="12.75" customHeight="1">
      <c r="A623" s="11"/>
      <c r="B623" s="11"/>
    </row>
    <row r="624" ht="12.75" customHeight="1">
      <c r="A624" s="11"/>
      <c r="B624" s="11"/>
    </row>
    <row r="625" ht="12.75" customHeight="1">
      <c r="A625" s="11"/>
      <c r="B625" s="11"/>
    </row>
    <row r="626" ht="12.75" customHeight="1">
      <c r="A626" s="11"/>
      <c r="B626" s="11"/>
    </row>
    <row r="627" ht="12.75" customHeight="1">
      <c r="A627" s="11"/>
      <c r="B627" s="11"/>
    </row>
    <row r="628" ht="12.75" customHeight="1">
      <c r="A628" s="11"/>
      <c r="B628" s="11"/>
    </row>
    <row r="629" ht="12.75" customHeight="1">
      <c r="A629" s="11"/>
      <c r="B629" s="11"/>
    </row>
    <row r="630" ht="12.75" customHeight="1">
      <c r="A630" s="11"/>
      <c r="B630" s="11"/>
    </row>
    <row r="631" ht="12.75" customHeight="1">
      <c r="A631" s="11"/>
      <c r="B631" s="11"/>
    </row>
    <row r="632" ht="12.75" customHeight="1">
      <c r="A632" s="11"/>
      <c r="B632" s="11"/>
    </row>
    <row r="633" ht="12.75" customHeight="1">
      <c r="A633" s="11"/>
      <c r="B633" s="11"/>
    </row>
    <row r="634" ht="12.75" customHeight="1">
      <c r="A634" s="11"/>
      <c r="B634" s="11"/>
    </row>
    <row r="635" ht="12.75" customHeight="1">
      <c r="A635" s="11"/>
      <c r="B635" s="11"/>
    </row>
    <row r="636" ht="12.75" customHeight="1">
      <c r="A636" s="11"/>
      <c r="B636" s="11"/>
    </row>
    <row r="637" ht="12.75" customHeight="1">
      <c r="A637" s="11"/>
      <c r="B637" s="11"/>
    </row>
    <row r="638" ht="12.75" customHeight="1">
      <c r="A638" s="11"/>
      <c r="B638" s="11"/>
    </row>
    <row r="639" ht="12.75" customHeight="1">
      <c r="A639" s="11"/>
      <c r="B639" s="11"/>
    </row>
    <row r="640" ht="12.75" customHeight="1">
      <c r="A640" s="11"/>
      <c r="B640" s="11"/>
    </row>
    <row r="641" ht="12.75" customHeight="1">
      <c r="A641" s="11"/>
      <c r="B641" s="11"/>
    </row>
    <row r="642" ht="12.75" customHeight="1">
      <c r="A642" s="11"/>
      <c r="B642" s="11"/>
    </row>
    <row r="643" ht="12.75" customHeight="1">
      <c r="A643" s="11"/>
      <c r="B643" s="11"/>
    </row>
    <row r="644" ht="12.75" customHeight="1">
      <c r="A644" s="11"/>
      <c r="B644" s="11"/>
    </row>
    <row r="645" ht="12.75" customHeight="1">
      <c r="A645" s="11"/>
      <c r="B645" s="11"/>
    </row>
    <row r="646" ht="12.75" customHeight="1">
      <c r="A646" s="11"/>
      <c r="B646" s="11"/>
    </row>
    <row r="647" ht="12.75" customHeight="1">
      <c r="A647" s="11"/>
      <c r="B647" s="11"/>
    </row>
    <row r="648" ht="12.75" customHeight="1">
      <c r="A648" s="11"/>
      <c r="B648" s="11"/>
    </row>
    <row r="649" ht="12.75" customHeight="1">
      <c r="A649" s="11"/>
      <c r="B649" s="11"/>
    </row>
    <row r="650" ht="12.75" customHeight="1">
      <c r="A650" s="11"/>
      <c r="B650" s="11"/>
    </row>
    <row r="651" ht="12.75" customHeight="1">
      <c r="A651" s="11"/>
      <c r="B651" s="11"/>
    </row>
    <row r="652" ht="12.75" customHeight="1">
      <c r="A652" s="11"/>
      <c r="B652" s="11"/>
    </row>
    <row r="653" ht="12.75" customHeight="1">
      <c r="A653" s="11"/>
      <c r="B653" s="11"/>
    </row>
    <row r="654" ht="12.75" customHeight="1">
      <c r="A654" s="11"/>
      <c r="B654" s="11"/>
    </row>
    <row r="655" ht="12.75" customHeight="1">
      <c r="A655" s="11"/>
      <c r="B655" s="11"/>
    </row>
    <row r="656" ht="12.75" customHeight="1">
      <c r="A656" s="11"/>
      <c r="B656" s="11"/>
    </row>
    <row r="657" ht="12.75" customHeight="1">
      <c r="A657" s="11"/>
      <c r="B657" s="11"/>
    </row>
    <row r="658" ht="12.75" customHeight="1">
      <c r="A658" s="11"/>
      <c r="B658" s="11"/>
    </row>
    <row r="659" ht="12.75" customHeight="1">
      <c r="A659" s="11"/>
      <c r="B659" s="11"/>
    </row>
    <row r="660" ht="12.75" customHeight="1">
      <c r="A660" s="11"/>
      <c r="B660" s="11"/>
    </row>
    <row r="661" ht="12.75" customHeight="1">
      <c r="A661" s="11"/>
      <c r="B661" s="11"/>
    </row>
    <row r="662" ht="12.75" customHeight="1">
      <c r="A662" s="11"/>
      <c r="B662" s="11"/>
    </row>
    <row r="663" ht="12.75" customHeight="1">
      <c r="A663" s="11"/>
      <c r="B663" s="11"/>
    </row>
    <row r="664" ht="12.75" customHeight="1">
      <c r="A664" s="11"/>
      <c r="B664" s="11"/>
    </row>
    <row r="665" ht="12.75" customHeight="1">
      <c r="A665" s="11"/>
      <c r="B665" s="11"/>
    </row>
    <row r="666" ht="12.75" customHeight="1">
      <c r="A666" s="11"/>
      <c r="B666" s="11"/>
    </row>
    <row r="667" ht="12.75" customHeight="1">
      <c r="A667" s="11"/>
      <c r="B667" s="11"/>
    </row>
    <row r="668" ht="12.75" customHeight="1">
      <c r="A668" s="11"/>
      <c r="B668" s="11"/>
    </row>
    <row r="669" ht="12.75" customHeight="1">
      <c r="A669" s="11"/>
      <c r="B669" s="11"/>
    </row>
    <row r="670" ht="12.75" customHeight="1">
      <c r="A670" s="11"/>
      <c r="B670" s="11"/>
    </row>
    <row r="671" ht="12.75" customHeight="1">
      <c r="A671" s="11"/>
      <c r="B671" s="11"/>
    </row>
    <row r="672" ht="12.75" customHeight="1">
      <c r="A672" s="11"/>
      <c r="B672" s="11"/>
    </row>
    <row r="673" ht="12.75" customHeight="1">
      <c r="A673" s="11"/>
      <c r="B673" s="11"/>
    </row>
    <row r="674" ht="12.75" customHeight="1">
      <c r="A674" s="11"/>
      <c r="B674" s="11"/>
    </row>
    <row r="675" ht="12.75" customHeight="1">
      <c r="A675" s="11"/>
      <c r="B675" s="11"/>
    </row>
    <row r="676" ht="12.75" customHeight="1">
      <c r="A676" s="11"/>
      <c r="B676" s="11"/>
    </row>
    <row r="677" ht="12.75" customHeight="1">
      <c r="A677" s="11"/>
      <c r="B677" s="11"/>
    </row>
    <row r="678" ht="12.75" customHeight="1">
      <c r="A678" s="11"/>
      <c r="B678" s="11"/>
    </row>
    <row r="679" ht="12.75" customHeight="1">
      <c r="A679" s="11"/>
      <c r="B679" s="11"/>
    </row>
    <row r="680" ht="12.75" customHeight="1">
      <c r="A680" s="11"/>
      <c r="B680" s="11"/>
    </row>
    <row r="681" ht="12.75" customHeight="1">
      <c r="A681" s="11"/>
      <c r="B681" s="11"/>
    </row>
    <row r="682" ht="12.75" customHeight="1">
      <c r="A682" s="11"/>
      <c r="B682" s="11"/>
    </row>
    <row r="683" ht="12.75" customHeight="1">
      <c r="A683" s="11"/>
      <c r="B683" s="11"/>
    </row>
    <row r="684" ht="12.75" customHeight="1">
      <c r="A684" s="11"/>
      <c r="B684" s="11"/>
    </row>
    <row r="685" ht="12.75" customHeight="1">
      <c r="A685" s="11"/>
      <c r="B685" s="11"/>
    </row>
    <row r="686" ht="12.75" customHeight="1">
      <c r="A686" s="11"/>
      <c r="B686" s="11"/>
    </row>
    <row r="687" ht="12.75" customHeight="1">
      <c r="A687" s="11"/>
      <c r="B687" s="11"/>
    </row>
    <row r="688" ht="12.75" customHeight="1">
      <c r="A688" s="11"/>
      <c r="B688" s="11"/>
    </row>
    <row r="689" ht="12.75" customHeight="1">
      <c r="A689" s="11"/>
      <c r="B689" s="11"/>
    </row>
    <row r="690" ht="12.75" customHeight="1">
      <c r="A690" s="11"/>
      <c r="B690" s="11"/>
    </row>
    <row r="691" ht="12.75" customHeight="1">
      <c r="A691" s="11"/>
      <c r="B691" s="11"/>
    </row>
    <row r="692" ht="12.75" customHeight="1">
      <c r="A692" s="11"/>
      <c r="B692" s="11"/>
    </row>
    <row r="693" ht="12.75" customHeight="1">
      <c r="A693" s="11"/>
      <c r="B693" s="11"/>
    </row>
    <row r="694" ht="12.75" customHeight="1">
      <c r="A694" s="11"/>
      <c r="B694" s="11"/>
    </row>
    <row r="695" ht="12.75" customHeight="1">
      <c r="A695" s="11"/>
      <c r="B695" s="11"/>
    </row>
    <row r="696" ht="12.75" customHeight="1">
      <c r="A696" s="11"/>
      <c r="B696" s="11"/>
    </row>
    <row r="697" ht="12.75" customHeight="1">
      <c r="A697" s="11"/>
      <c r="B697" s="11"/>
    </row>
    <row r="698" ht="12.75" customHeight="1">
      <c r="A698" s="11"/>
      <c r="B698" s="11"/>
    </row>
    <row r="699" ht="12.75" customHeight="1">
      <c r="A699" s="11"/>
      <c r="B699" s="11"/>
    </row>
    <row r="700" ht="12.75" customHeight="1">
      <c r="A700" s="11"/>
      <c r="B700" s="11"/>
    </row>
    <row r="701" ht="12.75" customHeight="1">
      <c r="A701" s="11"/>
      <c r="B701" s="11"/>
    </row>
    <row r="702" ht="12.75" customHeight="1">
      <c r="A702" s="11"/>
      <c r="B702" s="11"/>
    </row>
    <row r="703" ht="12.75" customHeight="1">
      <c r="A703" s="11"/>
      <c r="B703" s="11"/>
    </row>
    <row r="704" ht="12.75" customHeight="1">
      <c r="A704" s="11"/>
      <c r="B704" s="11"/>
    </row>
    <row r="705" ht="12.75" customHeight="1">
      <c r="A705" s="11"/>
      <c r="B705" s="11"/>
    </row>
    <row r="706" ht="12.75" customHeight="1">
      <c r="A706" s="11"/>
      <c r="B706" s="11"/>
    </row>
    <row r="707" ht="12.75" customHeight="1">
      <c r="A707" s="11"/>
      <c r="B707" s="11"/>
    </row>
    <row r="708" ht="12.75" customHeight="1">
      <c r="A708" s="11"/>
      <c r="B708" s="11"/>
    </row>
    <row r="709" ht="12.75" customHeight="1">
      <c r="A709" s="11"/>
      <c r="B709" s="11"/>
    </row>
    <row r="710" ht="12.75" customHeight="1">
      <c r="A710" s="11"/>
      <c r="B710" s="11"/>
    </row>
    <row r="711" ht="12.75" customHeight="1">
      <c r="A711" s="11"/>
      <c r="B711" s="11"/>
    </row>
    <row r="712" ht="12.75" customHeight="1">
      <c r="A712" s="11"/>
      <c r="B712" s="11"/>
    </row>
    <row r="713" ht="12.75" customHeight="1">
      <c r="A713" s="11"/>
      <c r="B713" s="11"/>
    </row>
    <row r="714" ht="12.75" customHeight="1">
      <c r="A714" s="11"/>
      <c r="B714" s="11"/>
    </row>
    <row r="715" ht="12.75" customHeight="1">
      <c r="A715" s="11"/>
      <c r="B715" s="11"/>
    </row>
    <row r="716" ht="12.75" customHeight="1">
      <c r="A716" s="11"/>
      <c r="B716" s="11"/>
    </row>
    <row r="717" ht="12.75" customHeight="1">
      <c r="A717" s="11"/>
      <c r="B717" s="11"/>
    </row>
    <row r="718" ht="12.75" customHeight="1">
      <c r="A718" s="11"/>
      <c r="B718" s="11"/>
    </row>
    <row r="719" ht="12.75" customHeight="1">
      <c r="A719" s="11"/>
      <c r="B719" s="11"/>
    </row>
    <row r="720" ht="12.75" customHeight="1">
      <c r="A720" s="11"/>
      <c r="B720" s="11"/>
    </row>
    <row r="721" ht="12.75" customHeight="1">
      <c r="A721" s="11"/>
      <c r="B721" s="11"/>
    </row>
    <row r="722" ht="12.75" customHeight="1">
      <c r="A722" s="11"/>
      <c r="B722" s="11"/>
    </row>
    <row r="723" ht="12.75" customHeight="1">
      <c r="A723" s="11"/>
      <c r="B723" s="11"/>
    </row>
    <row r="724" ht="12.75" customHeight="1">
      <c r="A724" s="11"/>
      <c r="B724" s="11"/>
    </row>
    <row r="725" ht="12.75" customHeight="1">
      <c r="A725" s="11"/>
      <c r="B725" s="11"/>
    </row>
    <row r="726" ht="12.75" customHeight="1">
      <c r="A726" s="11"/>
      <c r="B726" s="11"/>
    </row>
    <row r="727" ht="12.75" customHeight="1">
      <c r="A727" s="11"/>
      <c r="B727" s="11"/>
    </row>
    <row r="728" ht="12.75" customHeight="1">
      <c r="A728" s="11"/>
      <c r="B728" s="11"/>
    </row>
    <row r="729" ht="12.75" customHeight="1">
      <c r="A729" s="11"/>
      <c r="B729" s="11"/>
    </row>
    <row r="730" ht="12.75" customHeight="1">
      <c r="A730" s="11"/>
      <c r="B730" s="11"/>
    </row>
    <row r="731" ht="12.75" customHeight="1">
      <c r="A731" s="11"/>
      <c r="B731" s="11"/>
    </row>
    <row r="732" ht="12.75" customHeight="1">
      <c r="A732" s="11"/>
      <c r="B732" s="11"/>
    </row>
    <row r="733" ht="12.75" customHeight="1">
      <c r="A733" s="11"/>
      <c r="B733" s="11"/>
    </row>
    <row r="734" ht="12.75" customHeight="1">
      <c r="A734" s="11"/>
      <c r="B734" s="11"/>
    </row>
    <row r="735" ht="12.75" customHeight="1">
      <c r="A735" s="11"/>
      <c r="B735" s="11"/>
    </row>
    <row r="736" ht="12.75" customHeight="1">
      <c r="A736" s="11"/>
      <c r="B736" s="11"/>
    </row>
    <row r="737" ht="12.75" customHeight="1">
      <c r="A737" s="11"/>
      <c r="B737" s="11"/>
    </row>
    <row r="738" ht="12.75" customHeight="1">
      <c r="A738" s="11"/>
      <c r="B738" s="11"/>
    </row>
    <row r="739" ht="12.75" customHeight="1">
      <c r="A739" s="11"/>
      <c r="B739" s="11"/>
    </row>
    <row r="740" ht="12.75" customHeight="1">
      <c r="A740" s="11"/>
      <c r="B740" s="11"/>
    </row>
    <row r="741" ht="12.75" customHeight="1">
      <c r="A741" s="11"/>
      <c r="B741" s="11"/>
    </row>
    <row r="742" ht="12.75" customHeight="1">
      <c r="A742" s="11"/>
      <c r="B742" s="11"/>
    </row>
    <row r="743" ht="12.75" customHeight="1">
      <c r="A743" s="11"/>
      <c r="B743" s="11"/>
    </row>
    <row r="744" ht="12.75" customHeight="1">
      <c r="A744" s="11"/>
      <c r="B744" s="11"/>
    </row>
    <row r="745" ht="12.75" customHeight="1">
      <c r="A745" s="11"/>
      <c r="B745" s="11"/>
    </row>
    <row r="746" ht="12.75" customHeight="1">
      <c r="A746" s="11"/>
      <c r="B746" s="11"/>
    </row>
    <row r="747" ht="12.75" customHeight="1">
      <c r="A747" s="11"/>
      <c r="B747" s="11"/>
    </row>
    <row r="748" ht="12.75" customHeight="1">
      <c r="A748" s="11"/>
      <c r="B748" s="11"/>
    </row>
    <row r="749" ht="12.75" customHeight="1">
      <c r="A749" s="11"/>
      <c r="B749" s="11"/>
    </row>
    <row r="750" ht="12.75" customHeight="1">
      <c r="A750" s="11"/>
      <c r="B750" s="11"/>
    </row>
    <row r="751" ht="12.75" customHeight="1">
      <c r="A751" s="11"/>
      <c r="B751" s="11"/>
    </row>
    <row r="752" ht="12.75" customHeight="1">
      <c r="A752" s="11"/>
      <c r="B752" s="11"/>
    </row>
    <row r="753" ht="12.75" customHeight="1">
      <c r="A753" s="11"/>
      <c r="B753" s="11"/>
    </row>
    <row r="754" ht="12.75" customHeight="1">
      <c r="A754" s="11"/>
      <c r="B754" s="11"/>
    </row>
    <row r="755" ht="12.75" customHeight="1">
      <c r="A755" s="11"/>
      <c r="B755" s="11"/>
    </row>
    <row r="756" ht="12.75" customHeight="1">
      <c r="A756" s="11"/>
      <c r="B756" s="11"/>
    </row>
    <row r="757" ht="12.75" customHeight="1">
      <c r="A757" s="11"/>
      <c r="B757" s="11"/>
    </row>
    <row r="758" ht="12.75" customHeight="1">
      <c r="A758" s="11"/>
      <c r="B758" s="11"/>
    </row>
    <row r="759" ht="12.75" customHeight="1">
      <c r="A759" s="11"/>
      <c r="B759" s="11"/>
    </row>
    <row r="760" ht="12.75" customHeight="1">
      <c r="A760" s="11"/>
      <c r="B760" s="11"/>
    </row>
    <row r="761" ht="12.75" customHeight="1">
      <c r="A761" s="11"/>
      <c r="B761" s="11"/>
    </row>
    <row r="762" ht="12.75" customHeight="1">
      <c r="A762" s="11"/>
      <c r="B762" s="11"/>
    </row>
    <row r="763" ht="12.75" customHeight="1">
      <c r="A763" s="11"/>
      <c r="B763" s="11"/>
    </row>
    <row r="764" ht="12.75" customHeight="1">
      <c r="A764" s="11"/>
      <c r="B764" s="11"/>
    </row>
    <row r="765" ht="12.75" customHeight="1">
      <c r="A765" s="11"/>
      <c r="B765" s="11"/>
    </row>
    <row r="766" ht="12.75" customHeight="1">
      <c r="A766" s="11"/>
      <c r="B766" s="11"/>
    </row>
    <row r="767" ht="12.75" customHeight="1">
      <c r="A767" s="11"/>
      <c r="B767" s="11"/>
    </row>
    <row r="768" ht="12.75" customHeight="1">
      <c r="A768" s="11"/>
      <c r="B768" s="11"/>
    </row>
    <row r="769" ht="12.75" customHeight="1">
      <c r="A769" s="11"/>
      <c r="B769" s="11"/>
    </row>
    <row r="770" ht="12.75" customHeight="1">
      <c r="A770" s="11"/>
      <c r="B770" s="11"/>
    </row>
    <row r="771" ht="12.75" customHeight="1">
      <c r="A771" s="11"/>
      <c r="B771" s="11"/>
    </row>
    <row r="772" ht="12.75" customHeight="1">
      <c r="A772" s="11"/>
      <c r="B772" s="11"/>
    </row>
    <row r="773" ht="12.75" customHeight="1">
      <c r="A773" s="11"/>
      <c r="B773" s="11"/>
    </row>
    <row r="774" ht="12.75" customHeight="1">
      <c r="A774" s="11"/>
      <c r="B774" s="11"/>
    </row>
    <row r="775" ht="12.75" customHeight="1">
      <c r="A775" s="11"/>
      <c r="B775" s="11"/>
    </row>
    <row r="776" ht="12.75" customHeight="1">
      <c r="A776" s="11"/>
      <c r="B776" s="11"/>
    </row>
    <row r="777" ht="12.75" customHeight="1">
      <c r="A777" s="11"/>
      <c r="B777" s="11"/>
    </row>
    <row r="778" ht="12.75" customHeight="1">
      <c r="A778" s="11"/>
      <c r="B778" s="11"/>
    </row>
    <row r="779" ht="12.75" customHeight="1">
      <c r="A779" s="11"/>
      <c r="B779" s="11"/>
    </row>
    <row r="780" ht="12.75" customHeight="1">
      <c r="A780" s="11"/>
      <c r="B780" s="11"/>
    </row>
    <row r="781" ht="12.75" customHeight="1">
      <c r="A781" s="11"/>
      <c r="B781" s="11"/>
    </row>
    <row r="782" ht="12.75" customHeight="1">
      <c r="A782" s="11"/>
      <c r="B782" s="11"/>
    </row>
    <row r="783" ht="12.75" customHeight="1">
      <c r="A783" s="11"/>
      <c r="B783" s="11"/>
    </row>
    <row r="784" ht="12.75" customHeight="1">
      <c r="A784" s="11"/>
      <c r="B784" s="11"/>
    </row>
    <row r="785" ht="12.75" customHeight="1">
      <c r="A785" s="11"/>
      <c r="B785" s="11"/>
    </row>
    <row r="786" ht="12.75" customHeight="1">
      <c r="A786" s="11"/>
      <c r="B786" s="11"/>
    </row>
    <row r="787" ht="12.75" customHeight="1">
      <c r="A787" s="11"/>
      <c r="B787" s="11"/>
    </row>
    <row r="788" ht="12.75" customHeight="1">
      <c r="A788" s="11"/>
      <c r="B788" s="11"/>
    </row>
    <row r="789" ht="12.75" customHeight="1">
      <c r="A789" s="11"/>
      <c r="B789" s="11"/>
    </row>
    <row r="790" ht="12.75" customHeight="1">
      <c r="A790" s="11"/>
      <c r="B790" s="11"/>
    </row>
    <row r="791" ht="12.75" customHeight="1">
      <c r="A791" s="11"/>
      <c r="B791" s="11"/>
    </row>
    <row r="792" ht="12.75" customHeight="1">
      <c r="A792" s="11"/>
      <c r="B792" s="11"/>
    </row>
    <row r="793" ht="12.75" customHeight="1">
      <c r="A793" s="11"/>
      <c r="B793" s="11"/>
    </row>
    <row r="794" ht="12.75" customHeight="1">
      <c r="A794" s="11"/>
      <c r="B794" s="11"/>
    </row>
    <row r="795" ht="12.75" customHeight="1">
      <c r="A795" s="11"/>
      <c r="B795" s="11"/>
    </row>
    <row r="796" ht="12.75" customHeight="1">
      <c r="A796" s="11"/>
      <c r="B796" s="11"/>
    </row>
    <row r="797" ht="12.75" customHeight="1">
      <c r="A797" s="11"/>
      <c r="B797" s="11"/>
    </row>
    <row r="798" ht="12.75" customHeight="1">
      <c r="A798" s="11"/>
      <c r="B798" s="11"/>
    </row>
    <row r="799" ht="12.75" customHeight="1">
      <c r="A799" s="11"/>
      <c r="B799" s="11"/>
    </row>
    <row r="800" ht="12.75" customHeight="1">
      <c r="A800" s="11"/>
      <c r="B800" s="11"/>
    </row>
    <row r="801" ht="12.75" customHeight="1">
      <c r="A801" s="11"/>
      <c r="B801" s="11"/>
    </row>
    <row r="802" ht="12.75" customHeight="1">
      <c r="A802" s="11"/>
      <c r="B802" s="11"/>
    </row>
    <row r="803" ht="12.75" customHeight="1">
      <c r="A803" s="11"/>
      <c r="B803" s="11"/>
    </row>
    <row r="804" ht="12.75" customHeight="1">
      <c r="A804" s="11"/>
      <c r="B804" s="11"/>
    </row>
    <row r="805" ht="12.75" customHeight="1">
      <c r="A805" s="11"/>
      <c r="B805" s="11"/>
    </row>
    <row r="806" ht="12.75" customHeight="1">
      <c r="A806" s="11"/>
      <c r="B806" s="11"/>
    </row>
    <row r="807" ht="12.75" customHeight="1">
      <c r="A807" s="11"/>
      <c r="B807" s="11"/>
    </row>
    <row r="808" ht="12.75" customHeight="1">
      <c r="A808" s="11"/>
      <c r="B808" s="11"/>
    </row>
    <row r="809" ht="12.75" customHeight="1">
      <c r="A809" s="11"/>
      <c r="B809" s="11"/>
    </row>
    <row r="810" ht="12.75" customHeight="1">
      <c r="A810" s="11"/>
      <c r="B810" s="11"/>
    </row>
    <row r="811" ht="12.75" customHeight="1">
      <c r="A811" s="11"/>
      <c r="B811" s="11"/>
    </row>
    <row r="812" ht="12.75" customHeight="1">
      <c r="A812" s="11"/>
      <c r="B812" s="11"/>
    </row>
    <row r="813" ht="12.75" customHeight="1">
      <c r="A813" s="11"/>
      <c r="B813" s="11"/>
    </row>
    <row r="814" ht="12.75" customHeight="1">
      <c r="A814" s="11"/>
      <c r="B814" s="11"/>
    </row>
    <row r="815" ht="12.75" customHeight="1">
      <c r="A815" s="11"/>
      <c r="B815" s="11"/>
    </row>
    <row r="816" ht="12.75" customHeight="1">
      <c r="A816" s="11"/>
      <c r="B816" s="11"/>
    </row>
    <row r="817" ht="12.75" customHeight="1">
      <c r="A817" s="11"/>
      <c r="B817" s="11"/>
    </row>
    <row r="818" ht="12.75" customHeight="1">
      <c r="A818" s="11"/>
      <c r="B818" s="11"/>
    </row>
    <row r="819" ht="12.75" customHeight="1">
      <c r="A819" s="11"/>
      <c r="B819" s="11"/>
    </row>
    <row r="820" ht="12.75" customHeight="1">
      <c r="A820" s="11"/>
      <c r="B820" s="11"/>
    </row>
    <row r="821" ht="12.75" customHeight="1">
      <c r="A821" s="11"/>
      <c r="B821" s="11"/>
    </row>
    <row r="822" ht="12.75" customHeight="1">
      <c r="A822" s="11"/>
      <c r="B822" s="11"/>
    </row>
    <row r="823" ht="12.75" customHeight="1">
      <c r="A823" s="11"/>
      <c r="B823" s="11"/>
    </row>
    <row r="824" ht="12.75" customHeight="1">
      <c r="A824" s="11"/>
      <c r="B824" s="11"/>
    </row>
    <row r="825" ht="12.75" customHeight="1">
      <c r="A825" s="11"/>
      <c r="B825" s="11"/>
    </row>
    <row r="826" ht="12.75" customHeight="1">
      <c r="A826" s="11"/>
      <c r="B826" s="11"/>
    </row>
    <row r="827" ht="12.75" customHeight="1">
      <c r="A827" s="11"/>
      <c r="B827" s="11"/>
    </row>
    <row r="828" ht="12.75" customHeight="1">
      <c r="A828" s="11"/>
      <c r="B828" s="11"/>
    </row>
    <row r="829" ht="12.75" customHeight="1">
      <c r="A829" s="11"/>
      <c r="B829" s="11"/>
    </row>
    <row r="830" ht="12.75" customHeight="1">
      <c r="A830" s="11"/>
      <c r="B830" s="11"/>
    </row>
    <row r="831" ht="12.75" customHeight="1">
      <c r="A831" s="11"/>
      <c r="B831" s="11"/>
    </row>
    <row r="832" ht="12.75" customHeight="1">
      <c r="A832" s="11"/>
      <c r="B832" s="11"/>
    </row>
    <row r="833" ht="12.75" customHeight="1">
      <c r="A833" s="11"/>
      <c r="B833" s="11"/>
    </row>
    <row r="834" ht="12.75" customHeight="1">
      <c r="A834" s="11"/>
      <c r="B834" s="11"/>
    </row>
    <row r="835" ht="12.75" customHeight="1">
      <c r="A835" s="11"/>
      <c r="B835" s="11"/>
    </row>
    <row r="836" ht="12.75" customHeight="1">
      <c r="A836" s="11"/>
      <c r="B836" s="11"/>
    </row>
    <row r="837" ht="12.75" customHeight="1">
      <c r="A837" s="11"/>
      <c r="B837" s="11"/>
    </row>
    <row r="838" ht="12.75" customHeight="1">
      <c r="A838" s="11"/>
      <c r="B838" s="11"/>
    </row>
    <row r="839" ht="12.75" customHeight="1">
      <c r="A839" s="11"/>
      <c r="B839" s="11"/>
    </row>
    <row r="840" ht="12.75" customHeight="1">
      <c r="A840" s="11"/>
      <c r="B840" s="11"/>
    </row>
    <row r="841" ht="12.75" customHeight="1">
      <c r="A841" s="11"/>
      <c r="B841" s="11"/>
    </row>
    <row r="842" ht="12.75" customHeight="1">
      <c r="A842" s="11"/>
      <c r="B842" s="11"/>
    </row>
    <row r="843" ht="12.75" customHeight="1">
      <c r="A843" s="11"/>
      <c r="B843" s="11"/>
    </row>
    <row r="844" ht="12.75" customHeight="1">
      <c r="A844" s="11"/>
      <c r="B844" s="11"/>
    </row>
    <row r="845" ht="12.75" customHeight="1">
      <c r="A845" s="11"/>
      <c r="B845" s="11"/>
    </row>
    <row r="846" ht="12.75" customHeight="1">
      <c r="A846" s="11"/>
      <c r="B846" s="11"/>
    </row>
    <row r="847" ht="12.75" customHeight="1">
      <c r="A847" s="11"/>
      <c r="B847" s="11"/>
    </row>
    <row r="848" ht="12.75" customHeight="1">
      <c r="A848" s="11"/>
      <c r="B848" s="11"/>
    </row>
    <row r="849" ht="12.75" customHeight="1">
      <c r="A849" s="11"/>
      <c r="B849" s="11"/>
    </row>
    <row r="850" ht="12.75" customHeight="1">
      <c r="A850" s="11"/>
      <c r="B850" s="11"/>
    </row>
    <row r="851" ht="12.75" customHeight="1">
      <c r="A851" s="11"/>
      <c r="B851" s="11"/>
    </row>
    <row r="852" ht="12.75" customHeight="1">
      <c r="A852" s="11"/>
      <c r="B852" s="11"/>
    </row>
    <row r="853" ht="12.75" customHeight="1">
      <c r="A853" s="11"/>
      <c r="B853" s="11"/>
    </row>
    <row r="854" ht="12.75" customHeight="1">
      <c r="A854" s="11"/>
      <c r="B854" s="11"/>
    </row>
    <row r="855" ht="12.75" customHeight="1">
      <c r="A855" s="11"/>
      <c r="B855" s="11"/>
    </row>
    <row r="856" ht="12.75" customHeight="1">
      <c r="A856" s="11"/>
      <c r="B856" s="11"/>
    </row>
    <row r="857" ht="12.75" customHeight="1">
      <c r="A857" s="11"/>
      <c r="B857" s="11"/>
    </row>
    <row r="858" ht="12.75" customHeight="1">
      <c r="A858" s="11"/>
      <c r="B858" s="11"/>
    </row>
    <row r="859" ht="12.75" customHeight="1">
      <c r="A859" s="11"/>
      <c r="B859" s="11"/>
    </row>
    <row r="860" ht="12.75" customHeight="1">
      <c r="A860" s="11"/>
      <c r="B860" s="11"/>
    </row>
    <row r="861" ht="12.75" customHeight="1">
      <c r="A861" s="11"/>
      <c r="B861" s="11"/>
    </row>
    <row r="862" ht="12.75" customHeight="1">
      <c r="A862" s="11"/>
      <c r="B862" s="11"/>
    </row>
    <row r="863" ht="12.75" customHeight="1">
      <c r="A863" s="11"/>
      <c r="B863" s="11"/>
    </row>
    <row r="864" ht="12.75" customHeight="1">
      <c r="A864" s="11"/>
      <c r="B864" s="11"/>
    </row>
    <row r="865" ht="12.75" customHeight="1">
      <c r="A865" s="11"/>
      <c r="B865" s="11"/>
    </row>
    <row r="866" ht="12.75" customHeight="1">
      <c r="A866" s="11"/>
      <c r="B866" s="11"/>
    </row>
    <row r="867" ht="12.75" customHeight="1">
      <c r="A867" s="11"/>
      <c r="B867" s="11"/>
    </row>
    <row r="868" ht="12.75" customHeight="1">
      <c r="A868" s="11"/>
      <c r="B868" s="11"/>
    </row>
    <row r="869" ht="12.75" customHeight="1">
      <c r="A869" s="11"/>
      <c r="B869" s="11"/>
    </row>
    <row r="870" ht="12.75" customHeight="1">
      <c r="A870" s="11"/>
      <c r="B870" s="11"/>
    </row>
    <row r="871" ht="12.75" customHeight="1">
      <c r="A871" s="11"/>
      <c r="B871" s="11"/>
    </row>
    <row r="872" ht="12.75" customHeight="1">
      <c r="A872" s="11"/>
      <c r="B872" s="11"/>
    </row>
    <row r="873" ht="12.75" customHeight="1">
      <c r="A873" s="11"/>
      <c r="B873" s="11"/>
    </row>
    <row r="874" ht="12.75" customHeight="1">
      <c r="A874" s="11"/>
      <c r="B874" s="11"/>
    </row>
    <row r="875" ht="12.75" customHeight="1">
      <c r="A875" s="11"/>
      <c r="B875" s="11"/>
    </row>
    <row r="876" ht="12.75" customHeight="1">
      <c r="A876" s="11"/>
      <c r="B876" s="11"/>
    </row>
    <row r="877" ht="12.75" customHeight="1">
      <c r="A877" s="11"/>
      <c r="B877" s="11"/>
    </row>
    <row r="878" ht="12.75" customHeight="1">
      <c r="A878" s="11"/>
      <c r="B878" s="11"/>
    </row>
    <row r="879" ht="12.75" customHeight="1">
      <c r="A879" s="11"/>
      <c r="B879" s="11"/>
    </row>
    <row r="880" ht="12.75" customHeight="1">
      <c r="A880" s="11"/>
      <c r="B880" s="11"/>
    </row>
    <row r="881" ht="12.75" customHeight="1">
      <c r="A881" s="11"/>
      <c r="B881" s="11"/>
    </row>
    <row r="882" ht="12.75" customHeight="1">
      <c r="A882" s="11"/>
      <c r="B882" s="11"/>
    </row>
    <row r="883" ht="12.75" customHeight="1">
      <c r="A883" s="11"/>
      <c r="B883" s="11"/>
    </row>
    <row r="884" ht="12.75" customHeight="1">
      <c r="A884" s="11"/>
      <c r="B884" s="11"/>
    </row>
    <row r="885" ht="12.75" customHeight="1">
      <c r="A885" s="11"/>
      <c r="B885" s="11"/>
    </row>
    <row r="886" ht="12.75" customHeight="1">
      <c r="A886" s="11"/>
      <c r="B886" s="11"/>
    </row>
    <row r="887" ht="12.75" customHeight="1">
      <c r="A887" s="11"/>
      <c r="B887" s="11"/>
    </row>
    <row r="888" ht="12.75" customHeight="1">
      <c r="A888" s="11"/>
      <c r="B888" s="11"/>
    </row>
    <row r="889" ht="12.75" customHeight="1">
      <c r="A889" s="11"/>
      <c r="B889" s="11"/>
    </row>
    <row r="890" ht="12.75" customHeight="1">
      <c r="A890" s="11"/>
      <c r="B890" s="11"/>
    </row>
    <row r="891" ht="12.75" customHeight="1">
      <c r="A891" s="11"/>
      <c r="B891" s="11"/>
    </row>
    <row r="892" ht="12.75" customHeight="1">
      <c r="A892" s="11"/>
      <c r="B892" s="11"/>
    </row>
    <row r="893" ht="12.75" customHeight="1">
      <c r="A893" s="11"/>
      <c r="B893" s="11"/>
    </row>
    <row r="894" ht="12.75" customHeight="1">
      <c r="A894" s="11"/>
      <c r="B894" s="11"/>
    </row>
    <row r="895" ht="12.75" customHeight="1">
      <c r="A895" s="11"/>
      <c r="B895" s="11"/>
    </row>
    <row r="896" ht="12.75" customHeight="1">
      <c r="A896" s="11"/>
      <c r="B896" s="11"/>
    </row>
    <row r="897" ht="12.75" customHeight="1">
      <c r="A897" s="11"/>
      <c r="B897" s="11"/>
    </row>
    <row r="898" ht="12.75" customHeight="1">
      <c r="A898" s="11"/>
      <c r="B898" s="11"/>
    </row>
    <row r="899" ht="12.75" customHeight="1">
      <c r="A899" s="11"/>
      <c r="B899" s="11"/>
    </row>
    <row r="900" ht="12.75" customHeight="1">
      <c r="A900" s="11"/>
      <c r="B900" s="11"/>
    </row>
    <row r="901" ht="12.75" customHeight="1">
      <c r="A901" s="11"/>
      <c r="B901" s="11"/>
    </row>
    <row r="902" ht="12.75" customHeight="1">
      <c r="A902" s="11"/>
      <c r="B902" s="11"/>
    </row>
    <row r="903" ht="12.75" customHeight="1">
      <c r="A903" s="11"/>
      <c r="B903" s="11"/>
    </row>
    <row r="904" ht="12.75" customHeight="1">
      <c r="A904" s="11"/>
      <c r="B904" s="11"/>
    </row>
    <row r="905" ht="12.75" customHeight="1">
      <c r="A905" s="11"/>
      <c r="B905" s="11"/>
    </row>
    <row r="906" ht="12.75" customHeight="1">
      <c r="A906" s="11"/>
      <c r="B906" s="11"/>
    </row>
    <row r="907" ht="12.75" customHeight="1">
      <c r="A907" s="11"/>
      <c r="B907" s="11"/>
    </row>
    <row r="908" ht="12.75" customHeight="1">
      <c r="A908" s="11"/>
      <c r="B908" s="11"/>
    </row>
    <row r="909" ht="12.75" customHeight="1">
      <c r="A909" s="11"/>
      <c r="B909" s="11"/>
    </row>
    <row r="910" ht="12.75" customHeight="1">
      <c r="A910" s="11"/>
      <c r="B910" s="11"/>
    </row>
    <row r="911" ht="12.75" customHeight="1">
      <c r="A911" s="11"/>
      <c r="B911" s="11"/>
    </row>
    <row r="912" ht="12.75" customHeight="1">
      <c r="A912" s="11"/>
      <c r="B912" s="11"/>
    </row>
    <row r="913" ht="12.75" customHeight="1">
      <c r="A913" s="11"/>
      <c r="B913" s="11"/>
    </row>
    <row r="914" ht="12.75" customHeight="1">
      <c r="A914" s="11"/>
      <c r="B914" s="11"/>
    </row>
    <row r="915" ht="12.75" customHeight="1">
      <c r="A915" s="11"/>
      <c r="B915" s="11"/>
    </row>
    <row r="916" ht="12.75" customHeight="1">
      <c r="A916" s="11"/>
      <c r="B916" s="11"/>
    </row>
    <row r="917" ht="12.75" customHeight="1">
      <c r="A917" s="11"/>
      <c r="B917" s="11"/>
    </row>
    <row r="918" ht="12.75" customHeight="1">
      <c r="A918" s="11"/>
      <c r="B918" s="11"/>
    </row>
    <row r="919" ht="12.75" customHeight="1">
      <c r="A919" s="11"/>
      <c r="B919" s="11"/>
    </row>
    <row r="920" ht="12.75" customHeight="1">
      <c r="A920" s="11"/>
      <c r="B920" s="11"/>
    </row>
    <row r="921" ht="12.75" customHeight="1">
      <c r="A921" s="11"/>
      <c r="B921" s="11"/>
    </row>
    <row r="922" ht="12.75" customHeight="1">
      <c r="A922" s="11"/>
      <c r="B922" s="11"/>
    </row>
    <row r="923" ht="12.75" customHeight="1">
      <c r="A923" s="11"/>
      <c r="B923" s="11"/>
    </row>
    <row r="924" ht="12.75" customHeight="1">
      <c r="A924" s="11"/>
      <c r="B924" s="11"/>
    </row>
    <row r="925" ht="12.75" customHeight="1">
      <c r="A925" s="11"/>
      <c r="B925" s="11"/>
    </row>
    <row r="926" ht="12.75" customHeight="1">
      <c r="A926" s="11"/>
      <c r="B926" s="11"/>
    </row>
    <row r="927" ht="12.75" customHeight="1">
      <c r="A927" s="11"/>
      <c r="B927" s="11"/>
    </row>
    <row r="928" ht="12.75" customHeight="1">
      <c r="A928" s="11"/>
      <c r="B928" s="11"/>
    </row>
    <row r="929" ht="12.75" customHeight="1">
      <c r="A929" s="11"/>
      <c r="B929" s="11"/>
    </row>
    <row r="930" ht="12.75" customHeight="1">
      <c r="A930" s="11"/>
      <c r="B930" s="11"/>
    </row>
    <row r="931" ht="12.75" customHeight="1">
      <c r="A931" s="11"/>
      <c r="B931" s="11"/>
    </row>
    <row r="932" ht="12.75" customHeight="1">
      <c r="A932" s="11"/>
      <c r="B932" s="11"/>
    </row>
    <row r="933" ht="12.75" customHeight="1">
      <c r="A933" s="11"/>
      <c r="B933" s="11"/>
    </row>
    <row r="934" ht="12.75" customHeight="1">
      <c r="A934" s="11"/>
      <c r="B934" s="11"/>
    </row>
    <row r="935" ht="12.75" customHeight="1">
      <c r="A935" s="11"/>
      <c r="B935" s="11"/>
    </row>
    <row r="936" ht="12.75" customHeight="1">
      <c r="A936" s="11"/>
      <c r="B936" s="11"/>
    </row>
    <row r="937" ht="12.75" customHeight="1">
      <c r="A937" s="11"/>
      <c r="B937" s="11"/>
    </row>
    <row r="938" ht="12.75" customHeight="1">
      <c r="A938" s="11"/>
      <c r="B938" s="11"/>
    </row>
    <row r="939" ht="12.75" customHeight="1">
      <c r="A939" s="11"/>
      <c r="B939" s="11"/>
    </row>
    <row r="940" ht="12.75" customHeight="1">
      <c r="A940" s="11"/>
      <c r="B940" s="11"/>
    </row>
    <row r="941" ht="12.75" customHeight="1">
      <c r="A941" s="11"/>
      <c r="B941" s="11"/>
    </row>
    <row r="942" ht="12.75" customHeight="1">
      <c r="A942" s="11"/>
      <c r="B942" s="11"/>
    </row>
    <row r="943" ht="12.75" customHeight="1">
      <c r="A943" s="11"/>
      <c r="B943" s="11"/>
    </row>
    <row r="944" ht="12.75" customHeight="1">
      <c r="A944" s="11"/>
      <c r="B944" s="11"/>
    </row>
    <row r="945" ht="12.75" customHeight="1">
      <c r="A945" s="11"/>
      <c r="B945" s="11"/>
    </row>
    <row r="946" ht="12.75" customHeight="1">
      <c r="A946" s="11"/>
      <c r="B946" s="11"/>
    </row>
    <row r="947" ht="12.75" customHeight="1">
      <c r="A947" s="11"/>
      <c r="B947" s="11"/>
    </row>
    <row r="948" ht="12.75" customHeight="1">
      <c r="A948" s="11"/>
      <c r="B948" s="11"/>
    </row>
    <row r="949" ht="12.75" customHeight="1">
      <c r="A949" s="11"/>
      <c r="B949" s="11"/>
    </row>
    <row r="950" ht="12.75" customHeight="1">
      <c r="A950" s="11"/>
      <c r="B950" s="11"/>
    </row>
    <row r="951" ht="12.75" customHeight="1">
      <c r="A951" s="11"/>
      <c r="B951" s="11"/>
    </row>
    <row r="952" ht="12.75" customHeight="1">
      <c r="A952" s="11"/>
      <c r="B952" s="11"/>
    </row>
    <row r="953" ht="12.75" customHeight="1">
      <c r="A953" s="11"/>
      <c r="B953" s="11"/>
    </row>
    <row r="954" ht="12.75" customHeight="1">
      <c r="A954" s="11"/>
      <c r="B954" s="11"/>
    </row>
    <row r="955" ht="12.75" customHeight="1">
      <c r="A955" s="11"/>
      <c r="B955" s="11"/>
    </row>
    <row r="956" ht="12.75" customHeight="1">
      <c r="A956" s="11"/>
      <c r="B956" s="11"/>
    </row>
    <row r="957" ht="12.75" customHeight="1">
      <c r="A957" s="11"/>
      <c r="B957" s="11"/>
    </row>
    <row r="958" ht="12.75" customHeight="1">
      <c r="A958" s="11"/>
      <c r="B958" s="11"/>
    </row>
    <row r="959" ht="12.75" customHeight="1">
      <c r="A959" s="11"/>
      <c r="B959" s="11"/>
    </row>
    <row r="960" ht="12.75" customHeight="1">
      <c r="A960" s="11"/>
      <c r="B960" s="11"/>
    </row>
    <row r="961" ht="12.75" customHeight="1">
      <c r="A961" s="11"/>
      <c r="B961" s="11"/>
    </row>
    <row r="962" ht="12.75" customHeight="1">
      <c r="A962" s="11"/>
      <c r="B962" s="11"/>
    </row>
    <row r="963" ht="12.75" customHeight="1">
      <c r="A963" s="11"/>
      <c r="B963" s="11"/>
    </row>
    <row r="964" ht="12.75" customHeight="1">
      <c r="A964" s="11"/>
      <c r="B964" s="11"/>
    </row>
    <row r="965" ht="12.75" customHeight="1">
      <c r="A965" s="11"/>
      <c r="B965" s="11"/>
    </row>
    <row r="966" ht="12.75" customHeight="1">
      <c r="A966" s="11"/>
      <c r="B966" s="11"/>
    </row>
    <row r="967" ht="12.75" customHeight="1">
      <c r="A967" s="11"/>
      <c r="B967" s="11"/>
    </row>
    <row r="968" ht="12.75" customHeight="1">
      <c r="A968" s="11"/>
      <c r="B968" s="11"/>
    </row>
    <row r="969" ht="12.75" customHeight="1">
      <c r="A969" s="11"/>
      <c r="B969" s="11"/>
    </row>
    <row r="970" ht="12.75" customHeight="1">
      <c r="A970" s="11"/>
      <c r="B970" s="11"/>
    </row>
    <row r="971" ht="12.75" customHeight="1">
      <c r="A971" s="11"/>
      <c r="B971" s="11"/>
    </row>
    <row r="972" ht="12.75" customHeight="1">
      <c r="A972" s="11"/>
      <c r="B972" s="11"/>
    </row>
    <row r="973" ht="12.75" customHeight="1">
      <c r="A973" s="11"/>
      <c r="B973" s="11"/>
    </row>
    <row r="974" ht="12.75" customHeight="1">
      <c r="A974" s="11"/>
      <c r="B974" s="11"/>
    </row>
    <row r="975" ht="12.75" customHeight="1">
      <c r="A975" s="11"/>
      <c r="B975" s="11"/>
    </row>
    <row r="976" ht="12.75" customHeight="1">
      <c r="A976" s="11"/>
      <c r="B976" s="11"/>
    </row>
    <row r="977" ht="12.75" customHeight="1">
      <c r="A977" s="11"/>
      <c r="B977" s="11"/>
    </row>
    <row r="978" ht="12.75" customHeight="1">
      <c r="A978" s="11"/>
      <c r="B978" s="11"/>
    </row>
    <row r="979" ht="12.75" customHeight="1">
      <c r="A979" s="11"/>
      <c r="B979" s="11"/>
    </row>
    <row r="980" ht="12.75" customHeight="1">
      <c r="A980" s="11"/>
      <c r="B980" s="11"/>
    </row>
    <row r="981" ht="12.75" customHeight="1">
      <c r="A981" s="11"/>
      <c r="B981" s="11"/>
    </row>
    <row r="982" ht="12.75" customHeight="1">
      <c r="A982" s="11"/>
      <c r="B982" s="11"/>
    </row>
    <row r="983" ht="12.75" customHeight="1">
      <c r="A983" s="11"/>
      <c r="B983" s="11"/>
    </row>
    <row r="984" ht="12.75" customHeight="1">
      <c r="A984" s="11"/>
      <c r="B984" s="11"/>
    </row>
    <row r="985" ht="12.75" customHeight="1">
      <c r="A985" s="11"/>
      <c r="B985" s="11"/>
    </row>
    <row r="986" ht="12.75" customHeight="1">
      <c r="A986" s="11"/>
      <c r="B986" s="11"/>
    </row>
    <row r="987" ht="12.75" customHeight="1">
      <c r="A987" s="11"/>
      <c r="B987" s="11"/>
    </row>
    <row r="988" ht="12.75" customHeight="1">
      <c r="A988" s="11"/>
      <c r="B988" s="11"/>
    </row>
    <row r="989" ht="12.75" customHeight="1">
      <c r="A989" s="11"/>
      <c r="B989" s="11"/>
    </row>
    <row r="990" ht="12.75" customHeight="1">
      <c r="A990" s="11"/>
      <c r="B990" s="11"/>
    </row>
    <row r="991" ht="12.75" customHeight="1">
      <c r="A991" s="11"/>
      <c r="B991" s="11"/>
    </row>
    <row r="992" ht="12.75" customHeight="1">
      <c r="A992" s="11"/>
      <c r="B992" s="11"/>
    </row>
    <row r="993" ht="12.75" customHeight="1">
      <c r="A993" s="11"/>
      <c r="B993" s="11"/>
    </row>
    <row r="994" ht="12.75" customHeight="1">
      <c r="A994" s="11"/>
      <c r="B994" s="11"/>
    </row>
    <row r="995" ht="12.75" customHeight="1">
      <c r="A995" s="11"/>
      <c r="B995" s="11"/>
    </row>
    <row r="996" ht="12.75" customHeight="1">
      <c r="A996" s="11"/>
      <c r="B996" s="11"/>
    </row>
    <row r="997" ht="12.75" customHeight="1">
      <c r="A997" s="11"/>
      <c r="B997" s="11"/>
    </row>
    <row r="998" ht="12.75" customHeight="1">
      <c r="A998" s="11"/>
      <c r="B998" s="11"/>
    </row>
    <row r="999" ht="12.75" customHeight="1">
      <c r="A999" s="11"/>
      <c r="B999" s="11"/>
    </row>
    <row r="1000" ht="12.75" customHeight="1">
      <c r="A1000" s="11"/>
      <c r="B1000" s="11"/>
    </row>
  </sheetData>
  <hyperlinks>
    <hyperlink r:id="rId1" ref="B4"/>
    <hyperlink r:id="rId2" ref="B19"/>
  </hyperlinks>
  <printOptions/>
  <pageMargins bottom="0.75" footer="0.0" header="0.0" left="0.7" right="0.7" top="0.75"/>
  <pageSetup orientation="portrait"/>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2010-06-09T16:05:03Z</dcterms:created>
  <dc:creator>Vertex42.com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2006-2025 Vertex42 LLC</vt:lpwstr>
  </property>
  <property fmtid="{D5CDD505-2E9C-101B-9397-08002B2CF9AE}" pid="3" name="Version">
    <vt:lpwstr>3.1.2</vt:lpwstr>
  </property>
  <property fmtid="{D5CDD505-2E9C-101B-9397-08002B2CF9AE}" pid="4" name="Source">
    <vt:lpwstr>https://www.vertex42.com/ExcelTemplates/excel-gantt-chart.html</vt:lpwstr>
  </property>
</Properties>
</file>